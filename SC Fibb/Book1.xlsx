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URA\SC Fibb\"/>
    </mc:Choice>
  </mc:AlternateContent>
  <xr:revisionPtr revIDLastSave="0" documentId="13_ncr:1_{B8D60F36-2247-4051-B932-BECA6498D91A}" xr6:coauthVersionLast="47" xr6:coauthVersionMax="47" xr10:uidLastSave="{00000000-0000-0000-0000-000000000000}"/>
  <bookViews>
    <workbookView xWindow="-120" yWindow="-120" windowWidth="38640" windowHeight="21240" firstSheet="1" activeTab="5" xr2:uid="{F376AF4D-34B0-4633-9DED-70F80F4BDBF8}"/>
  </bookViews>
  <sheets>
    <sheet name="About 10 Input" sheetId="1" r:id="rId1"/>
    <sheet name="About 13.5V Input" sheetId="2" r:id="rId2"/>
    <sheet name="Sheet1" sheetId="3" r:id="rId3"/>
    <sheet name="Sheet3" sheetId="5" r:id="rId4"/>
    <sheet name="Sheet2" sheetId="4" r:id="rId5"/>
    <sheet name="Sheet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4" i="6" l="1"/>
  <c r="I34" i="6"/>
  <c r="K34" i="6" s="1"/>
  <c r="J34" i="6"/>
  <c r="C34" i="6"/>
  <c r="F34" i="6"/>
  <c r="C30" i="6"/>
  <c r="J30" i="6" s="1"/>
  <c r="L30" i="6" s="1"/>
  <c r="F30" i="6"/>
  <c r="I30" i="6"/>
  <c r="K30" i="6"/>
  <c r="C18" i="6"/>
  <c r="J18" i="6" s="1"/>
  <c r="F18" i="6"/>
  <c r="I18" i="6"/>
  <c r="K18" i="6" s="1"/>
  <c r="C19" i="6"/>
  <c r="J19" i="6" s="1"/>
  <c r="F19" i="6"/>
  <c r="I19" i="6"/>
  <c r="C20" i="6"/>
  <c r="F20" i="6"/>
  <c r="I20" i="6"/>
  <c r="K20" i="6" s="1"/>
  <c r="J20" i="6"/>
  <c r="C21" i="6"/>
  <c r="J21" i="6" s="1"/>
  <c r="F21" i="6"/>
  <c r="I21" i="6"/>
  <c r="C22" i="6"/>
  <c r="J22" i="6" s="1"/>
  <c r="F22" i="6"/>
  <c r="I22" i="6"/>
  <c r="C23" i="6"/>
  <c r="J23" i="6" s="1"/>
  <c r="F23" i="6"/>
  <c r="I23" i="6"/>
  <c r="C24" i="6"/>
  <c r="J24" i="6" s="1"/>
  <c r="F24" i="6"/>
  <c r="I24" i="6"/>
  <c r="C25" i="6"/>
  <c r="J25" i="6" s="1"/>
  <c r="F25" i="6"/>
  <c r="I25" i="6"/>
  <c r="K25" i="6" s="1"/>
  <c r="C26" i="6"/>
  <c r="J26" i="6" s="1"/>
  <c r="F26" i="6"/>
  <c r="I26" i="6"/>
  <c r="C27" i="6"/>
  <c r="J27" i="6" s="1"/>
  <c r="F27" i="6"/>
  <c r="I27" i="6"/>
  <c r="C28" i="6"/>
  <c r="F28" i="6"/>
  <c r="I28" i="6"/>
  <c r="K28" i="6" s="1"/>
  <c r="J28" i="6"/>
  <c r="C29" i="6"/>
  <c r="J29" i="6" s="1"/>
  <c r="F29" i="6"/>
  <c r="I29" i="6"/>
  <c r="C31" i="6"/>
  <c r="J31" i="6" s="1"/>
  <c r="F31" i="6"/>
  <c r="I31" i="6"/>
  <c r="C32" i="6"/>
  <c r="J32" i="6" s="1"/>
  <c r="F32" i="6"/>
  <c r="I32" i="6"/>
  <c r="K32" i="6" s="1"/>
  <c r="C33" i="6"/>
  <c r="J33" i="6" s="1"/>
  <c r="F33" i="6"/>
  <c r="K33" i="6" s="1"/>
  <c r="I33" i="6"/>
  <c r="I17" i="6"/>
  <c r="F17" i="6"/>
  <c r="K17" i="6" s="1"/>
  <c r="C17" i="6"/>
  <c r="J17" i="6" s="1"/>
  <c r="I14" i="6"/>
  <c r="K14" i="6" s="1"/>
  <c r="L14" i="6" s="1"/>
  <c r="F14" i="6"/>
  <c r="C14" i="6"/>
  <c r="J14" i="6" s="1"/>
  <c r="I13" i="6"/>
  <c r="F13" i="6"/>
  <c r="C13" i="6"/>
  <c r="J13" i="6" s="1"/>
  <c r="J12" i="6"/>
  <c r="I12" i="6"/>
  <c r="K12" i="6" s="1"/>
  <c r="F12" i="6"/>
  <c r="C12" i="6"/>
  <c r="J11" i="6"/>
  <c r="I11" i="6"/>
  <c r="F11" i="6"/>
  <c r="C11" i="6"/>
  <c r="I10" i="6"/>
  <c r="F10" i="6"/>
  <c r="C10" i="6"/>
  <c r="J10" i="6" s="1"/>
  <c r="J9" i="6"/>
  <c r="I9" i="6"/>
  <c r="F9" i="6"/>
  <c r="C9" i="6"/>
  <c r="J8" i="6"/>
  <c r="I8" i="6"/>
  <c r="F8" i="6"/>
  <c r="C8" i="6"/>
  <c r="I7" i="6"/>
  <c r="F7" i="6"/>
  <c r="K7" i="6" s="1"/>
  <c r="C7" i="6"/>
  <c r="J7" i="6" s="1"/>
  <c r="J6" i="6"/>
  <c r="I6" i="6"/>
  <c r="F6" i="6"/>
  <c r="C6" i="6"/>
  <c r="J5" i="6"/>
  <c r="I5" i="6"/>
  <c r="F5" i="6"/>
  <c r="C5" i="6"/>
  <c r="I4" i="6"/>
  <c r="F4" i="6"/>
  <c r="C4" i="6"/>
  <c r="J4" i="6" s="1"/>
  <c r="J3" i="6"/>
  <c r="I3" i="6"/>
  <c r="F3" i="6"/>
  <c r="C3" i="6"/>
  <c r="L4" i="3"/>
  <c r="L5" i="3"/>
  <c r="L6" i="3"/>
  <c r="L7" i="3"/>
  <c r="L8" i="3"/>
  <c r="L9" i="3"/>
  <c r="L10" i="3"/>
  <c r="L11" i="3"/>
  <c r="L12" i="3"/>
  <c r="L13" i="3"/>
  <c r="L3" i="3"/>
  <c r="I13" i="5"/>
  <c r="F13" i="5"/>
  <c r="K13" i="5" s="1"/>
  <c r="C13" i="5"/>
  <c r="J13" i="5" s="1"/>
  <c r="J12" i="5"/>
  <c r="I12" i="5"/>
  <c r="F12" i="5"/>
  <c r="K12" i="5" s="1"/>
  <c r="L12" i="5" s="1"/>
  <c r="C12" i="5"/>
  <c r="I11" i="5"/>
  <c r="F11" i="5"/>
  <c r="K11" i="5" s="1"/>
  <c r="L11" i="5" s="1"/>
  <c r="C11" i="5"/>
  <c r="J11" i="5" s="1"/>
  <c r="J10" i="5"/>
  <c r="I10" i="5"/>
  <c r="F10" i="5"/>
  <c r="K10" i="5" s="1"/>
  <c r="L10" i="5" s="1"/>
  <c r="C10" i="5"/>
  <c r="I9" i="5"/>
  <c r="F9" i="5"/>
  <c r="K9" i="5" s="1"/>
  <c r="C9" i="5"/>
  <c r="J9" i="5" s="1"/>
  <c r="J8" i="5"/>
  <c r="I8" i="5"/>
  <c r="F8" i="5"/>
  <c r="K8" i="5" s="1"/>
  <c r="L8" i="5" s="1"/>
  <c r="C8" i="5"/>
  <c r="I7" i="5"/>
  <c r="F7" i="5"/>
  <c r="K7" i="5" s="1"/>
  <c r="L7" i="5" s="1"/>
  <c r="C7" i="5"/>
  <c r="J7" i="5" s="1"/>
  <c r="J6" i="5"/>
  <c r="I6" i="5"/>
  <c r="F6" i="5"/>
  <c r="K6" i="5" s="1"/>
  <c r="L6" i="5" s="1"/>
  <c r="C6" i="5"/>
  <c r="I5" i="5"/>
  <c r="F5" i="5"/>
  <c r="K5" i="5" s="1"/>
  <c r="L5" i="5" s="1"/>
  <c r="C5" i="5"/>
  <c r="J5" i="5" s="1"/>
  <c r="J4" i="5"/>
  <c r="I4" i="5"/>
  <c r="F4" i="5"/>
  <c r="K4" i="5" s="1"/>
  <c r="L4" i="5" s="1"/>
  <c r="C4" i="5"/>
  <c r="I3" i="5"/>
  <c r="F3" i="5"/>
  <c r="K3" i="5" s="1"/>
  <c r="C3" i="5"/>
  <c r="J3" i="5" s="1"/>
  <c r="I13" i="3"/>
  <c r="F13" i="3"/>
  <c r="K13" i="3" s="1"/>
  <c r="C13" i="3"/>
  <c r="J13" i="3" s="1"/>
  <c r="I12" i="3"/>
  <c r="F12" i="3"/>
  <c r="K12" i="3" s="1"/>
  <c r="C12" i="3"/>
  <c r="J12" i="3" s="1"/>
  <c r="I11" i="3"/>
  <c r="F11" i="3"/>
  <c r="K11" i="3" s="1"/>
  <c r="C11" i="3"/>
  <c r="J11" i="3" s="1"/>
  <c r="I10" i="3"/>
  <c r="F10" i="3"/>
  <c r="K10" i="3" s="1"/>
  <c r="M10" i="3" s="1"/>
  <c r="C10" i="3"/>
  <c r="J10" i="3" s="1"/>
  <c r="I9" i="3"/>
  <c r="F9" i="3"/>
  <c r="K9" i="3" s="1"/>
  <c r="C9" i="3"/>
  <c r="J9" i="3" s="1"/>
  <c r="I8" i="3"/>
  <c r="F8" i="3"/>
  <c r="K8" i="3" s="1"/>
  <c r="C8" i="3"/>
  <c r="J8" i="3" s="1"/>
  <c r="I7" i="3"/>
  <c r="F7" i="3"/>
  <c r="K7" i="3" s="1"/>
  <c r="C7" i="3"/>
  <c r="J7" i="3" s="1"/>
  <c r="I6" i="3"/>
  <c r="F6" i="3"/>
  <c r="K6" i="3" s="1"/>
  <c r="C6" i="3"/>
  <c r="J6" i="3" s="1"/>
  <c r="I5" i="3"/>
  <c r="F5" i="3"/>
  <c r="K5" i="3" s="1"/>
  <c r="M5" i="3" s="1"/>
  <c r="C5" i="3"/>
  <c r="J5" i="3" s="1"/>
  <c r="I4" i="3"/>
  <c r="F4" i="3"/>
  <c r="K4" i="3" s="1"/>
  <c r="C4" i="3"/>
  <c r="J4" i="3" s="1"/>
  <c r="I3" i="3"/>
  <c r="F3" i="3"/>
  <c r="K3" i="3" s="1"/>
  <c r="C3" i="3"/>
  <c r="J3" i="3" s="1"/>
  <c r="C13" i="1"/>
  <c r="J13" i="1" s="1"/>
  <c r="F13" i="1"/>
  <c r="I13" i="1"/>
  <c r="C11" i="1"/>
  <c r="F11" i="1"/>
  <c r="I11" i="1"/>
  <c r="J11" i="1"/>
  <c r="K11" i="1"/>
  <c r="L11" i="1" s="1"/>
  <c r="C12" i="1"/>
  <c r="J12" i="1" s="1"/>
  <c r="F12" i="1"/>
  <c r="I12" i="1"/>
  <c r="K12" i="1" s="1"/>
  <c r="C21" i="2"/>
  <c r="F21" i="2"/>
  <c r="I21" i="2"/>
  <c r="J21" i="2"/>
  <c r="K21" i="2"/>
  <c r="L21" i="2" s="1"/>
  <c r="I20" i="2"/>
  <c r="F20" i="2"/>
  <c r="K20" i="2" s="1"/>
  <c r="L20" i="2" s="1"/>
  <c r="C20" i="2"/>
  <c r="J20" i="2" s="1"/>
  <c r="K31" i="6" l="1"/>
  <c r="L31" i="6" s="1"/>
  <c r="K29" i="6"/>
  <c r="L29" i="6" s="1"/>
  <c r="K26" i="6"/>
  <c r="L26" i="6" s="1"/>
  <c r="L25" i="6"/>
  <c r="K21" i="6"/>
  <c r="L21" i="6" s="1"/>
  <c r="L18" i="6"/>
  <c r="K27" i="6"/>
  <c r="L27" i="6" s="1"/>
  <c r="K24" i="6"/>
  <c r="L24" i="6" s="1"/>
  <c r="K23" i="6"/>
  <c r="L23" i="6" s="1"/>
  <c r="L33" i="6"/>
  <c r="K19" i="6"/>
  <c r="L19" i="6" s="1"/>
  <c r="K22" i="6"/>
  <c r="L22" i="6" s="1"/>
  <c r="L32" i="6"/>
  <c r="L20" i="6"/>
  <c r="L28" i="6"/>
  <c r="L7" i="6"/>
  <c r="K13" i="6"/>
  <c r="L13" i="6" s="1"/>
  <c r="K4" i="6"/>
  <c r="L4" i="6" s="1"/>
  <c r="K5" i="6"/>
  <c r="L5" i="6" s="1"/>
  <c r="L17" i="6"/>
  <c r="K3" i="6"/>
  <c r="L3" i="6" s="1"/>
  <c r="K10" i="6"/>
  <c r="L10" i="6" s="1"/>
  <c r="L12" i="6"/>
  <c r="K11" i="6"/>
  <c r="L11" i="6" s="1"/>
  <c r="K6" i="6"/>
  <c r="L6" i="6" s="1"/>
  <c r="K8" i="6"/>
  <c r="L8" i="6" s="1"/>
  <c r="K9" i="6"/>
  <c r="L9" i="6" s="1"/>
  <c r="M8" i="3"/>
  <c r="M13" i="3"/>
  <c r="L9" i="5"/>
  <c r="L3" i="5"/>
  <c r="L13" i="5"/>
  <c r="M3" i="3"/>
  <c r="M6" i="3"/>
  <c r="M11" i="3"/>
  <c r="M4" i="3"/>
  <c r="M12" i="3"/>
  <c r="M7" i="3"/>
  <c r="M9" i="3"/>
  <c r="K13" i="1"/>
  <c r="L13" i="1" s="1"/>
  <c r="L12" i="1"/>
  <c r="I3" i="2"/>
  <c r="I10" i="2"/>
  <c r="K10" i="2" s="1"/>
  <c r="F10" i="2"/>
  <c r="C10" i="2"/>
  <c r="J10" i="2" s="1"/>
  <c r="I9" i="2"/>
  <c r="F9" i="2"/>
  <c r="K9" i="2" s="1"/>
  <c r="C9" i="2"/>
  <c r="J9" i="2" s="1"/>
  <c r="I8" i="2"/>
  <c r="F8" i="2"/>
  <c r="C8" i="2"/>
  <c r="J8" i="2" s="1"/>
  <c r="I7" i="2"/>
  <c r="F7" i="2"/>
  <c r="K7" i="2" s="1"/>
  <c r="L7" i="2" s="1"/>
  <c r="C7" i="2"/>
  <c r="J7" i="2" s="1"/>
  <c r="I6" i="2"/>
  <c r="F6" i="2"/>
  <c r="K6" i="2" s="1"/>
  <c r="C6" i="2"/>
  <c r="J6" i="2" s="1"/>
  <c r="I5" i="2"/>
  <c r="F5" i="2"/>
  <c r="K5" i="2" s="1"/>
  <c r="C5" i="2"/>
  <c r="J5" i="2" s="1"/>
  <c r="I4" i="2"/>
  <c r="F4" i="2"/>
  <c r="K4" i="2" s="1"/>
  <c r="C4" i="2"/>
  <c r="J4" i="2" s="1"/>
  <c r="F3" i="2"/>
  <c r="C3" i="2"/>
  <c r="J3" i="2" s="1"/>
  <c r="I4" i="1"/>
  <c r="I5" i="1"/>
  <c r="I6" i="1"/>
  <c r="I7" i="1"/>
  <c r="I8" i="1"/>
  <c r="I9" i="1"/>
  <c r="I10" i="1"/>
  <c r="F4" i="1"/>
  <c r="F5" i="1"/>
  <c r="F6" i="1"/>
  <c r="F7" i="1"/>
  <c r="F8" i="1"/>
  <c r="F9" i="1"/>
  <c r="F10" i="1"/>
  <c r="C4" i="1"/>
  <c r="J4" i="1" s="1"/>
  <c r="C5" i="1"/>
  <c r="J5" i="1" s="1"/>
  <c r="C6" i="1"/>
  <c r="J6" i="1" s="1"/>
  <c r="C7" i="1"/>
  <c r="J7" i="1" s="1"/>
  <c r="C8" i="1"/>
  <c r="J8" i="1" s="1"/>
  <c r="C9" i="1"/>
  <c r="J9" i="1" s="1"/>
  <c r="C10" i="1"/>
  <c r="J10" i="1" s="1"/>
  <c r="I3" i="1"/>
  <c r="F3" i="1"/>
  <c r="C3" i="1"/>
  <c r="J3" i="1" s="1"/>
  <c r="K10" i="1" l="1"/>
  <c r="K9" i="1"/>
  <c r="K8" i="1"/>
  <c r="L8" i="1" s="1"/>
  <c r="K3" i="1"/>
  <c r="L3" i="1" s="1"/>
  <c r="K8" i="2"/>
  <c r="K3" i="2"/>
  <c r="L3" i="2" s="1"/>
  <c r="L4" i="2"/>
  <c r="L5" i="2"/>
  <c r="L8" i="2"/>
  <c r="L6" i="2"/>
  <c r="L9" i="2"/>
  <c r="L10" i="2"/>
  <c r="L10" i="1"/>
  <c r="L9" i="1"/>
  <c r="K7" i="1"/>
  <c r="L7" i="1" s="1"/>
  <c r="K6" i="1"/>
  <c r="L6" i="1" s="1"/>
  <c r="K5" i="1"/>
  <c r="L5" i="1"/>
  <c r="K4" i="1"/>
  <c r="L4" i="1" s="1"/>
</calcChain>
</file>

<file path=xl/sharedStrings.xml><?xml version="1.0" encoding="utf-8"?>
<sst xmlns="http://schemas.openxmlformats.org/spreadsheetml/2006/main" count="173" uniqueCount="32">
  <si>
    <t xml:space="preserve">Input </t>
  </si>
  <si>
    <t>Input Power</t>
  </si>
  <si>
    <t>Output Power</t>
  </si>
  <si>
    <t>Efficiency</t>
  </si>
  <si>
    <t>8 ohms output</t>
  </si>
  <si>
    <t>No kelvin 10 ohms</t>
  </si>
  <si>
    <t>6 ohms output</t>
  </si>
  <si>
    <t>5 ohms output</t>
  </si>
  <si>
    <t>4 ohms output</t>
  </si>
  <si>
    <t>3 ohms output</t>
  </si>
  <si>
    <t>1 ohms output</t>
  </si>
  <si>
    <t>Current (A)</t>
  </si>
  <si>
    <t>Power (W)</t>
  </si>
  <si>
    <t>Voltage (V)</t>
  </si>
  <si>
    <t>Output 1</t>
  </si>
  <si>
    <t>Output 2</t>
  </si>
  <si>
    <t>Notes</t>
  </si>
  <si>
    <t>Power (w)</t>
  </si>
  <si>
    <t>(%)</t>
  </si>
  <si>
    <t>Simulation</t>
  </si>
  <si>
    <t>4 V output</t>
  </si>
  <si>
    <t>4V output after cap added</t>
  </si>
  <si>
    <t>pic 8</t>
  </si>
  <si>
    <t>pic 9</t>
  </si>
  <si>
    <t>pic 10</t>
  </si>
  <si>
    <t>pic 12</t>
  </si>
  <si>
    <t>pic 13</t>
  </si>
  <si>
    <t>pic 14</t>
  </si>
  <si>
    <t>s/p</t>
  </si>
  <si>
    <t>p</t>
  </si>
  <si>
    <t>p/s</t>
  </si>
  <si>
    <t>Power Loss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</si>
</sst>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Input ≈10V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'About 10 Input'!$K$3:$K$10</c:f>
              <c:numCache>
                <c:formatCode>General</c:formatCode>
                <c:ptCount val="8"/>
                <c:pt idx="0">
                  <c:v>2.6631</c:v>
                </c:pt>
                <c:pt idx="1">
                  <c:v>4.4796000000000005</c:v>
                </c:pt>
                <c:pt idx="2">
                  <c:v>5.4265740000000005</c:v>
                </c:pt>
                <c:pt idx="3">
                  <c:v>6.511298</c:v>
                </c:pt>
                <c:pt idx="4">
                  <c:v>7.6229870000000002</c:v>
                </c:pt>
                <c:pt idx="5">
                  <c:v>10.017790000000002</c:v>
                </c:pt>
                <c:pt idx="6">
                  <c:v>13.53125</c:v>
                </c:pt>
                <c:pt idx="7">
                  <c:v>20.930800000000001</c:v>
                </c:pt>
              </c:numCache>
            </c:numRef>
          </c:xVal>
          <c:yVal>
            <c:numRef>
              <c:f>'About 10 Input'!$L$3:$L$10</c:f>
              <c:numCache>
                <c:formatCode>0.00%</c:formatCode>
                <c:ptCount val="8"/>
                <c:pt idx="0">
                  <c:v>0.93629363991140169</c:v>
                </c:pt>
                <c:pt idx="1">
                  <c:v>0.96705669012564233</c:v>
                </c:pt>
                <c:pt idx="2">
                  <c:v>0.97672627918529564</c:v>
                </c:pt>
                <c:pt idx="3">
                  <c:v>0.97747423570297309</c:v>
                </c:pt>
                <c:pt idx="4">
                  <c:v>0.97713089371930517</c:v>
                </c:pt>
                <c:pt idx="5">
                  <c:v>0.96887128674568312</c:v>
                </c:pt>
                <c:pt idx="6">
                  <c:v>0.97093840097701956</c:v>
                </c:pt>
                <c:pt idx="7">
                  <c:v>0.964405445802762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5-4968-BE8D-7CE319E72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8310271"/>
        <c:axId val="1578301119"/>
      </c:scatterChart>
      <c:valAx>
        <c:axId val="157831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</a:t>
                </a:r>
                <a:r>
                  <a:rPr lang="en-US" baseline="0"/>
                  <a:t> Power (W)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301119"/>
        <c:crosses val="autoZero"/>
        <c:crossBetween val="midCat"/>
      </c:valAx>
      <c:valAx>
        <c:axId val="157830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31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Input ≈10V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'About 13.5V Input'!$K$3:$K$10</c:f>
              <c:numCache>
                <c:formatCode>General</c:formatCode>
                <c:ptCount val="8"/>
                <c:pt idx="0">
                  <c:v>3.1992799999999999</c:v>
                </c:pt>
                <c:pt idx="1">
                  <c:v>3.9973260000000002</c:v>
                </c:pt>
                <c:pt idx="2">
                  <c:v>5.1652439999999995</c:v>
                </c:pt>
                <c:pt idx="3">
                  <c:v>6.3816519999999999</c:v>
                </c:pt>
                <c:pt idx="4">
                  <c:v>7.8456650000000003</c:v>
                </c:pt>
                <c:pt idx="5">
                  <c:v>8.702770000000001</c:v>
                </c:pt>
                <c:pt idx="6">
                  <c:v>2.8465319999999998</c:v>
                </c:pt>
                <c:pt idx="7">
                  <c:v>5.416500000000001</c:v>
                </c:pt>
              </c:numCache>
            </c:numRef>
          </c:xVal>
          <c:yVal>
            <c:numRef>
              <c:f>'About 13.5V Input'!$L$3:$L$10</c:f>
              <c:numCache>
                <c:formatCode>0.00%</c:formatCode>
                <c:ptCount val="8"/>
                <c:pt idx="0">
                  <c:v>0.78607817439432548</c:v>
                </c:pt>
                <c:pt idx="1">
                  <c:v>0.81583675941860501</c:v>
                </c:pt>
                <c:pt idx="2">
                  <c:v>0.8428023510545708</c:v>
                </c:pt>
                <c:pt idx="3">
                  <c:v>0.91873833158847018</c:v>
                </c:pt>
                <c:pt idx="4">
                  <c:v>0.93254098434700072</c:v>
                </c:pt>
                <c:pt idx="5">
                  <c:v>0.83655866639238852</c:v>
                </c:pt>
                <c:pt idx="6">
                  <c:v>0.84991248672073316</c:v>
                </c:pt>
                <c:pt idx="7">
                  <c:v>0.83741618494428838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CA-404A-A925-F83DB5EA3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8310271"/>
        <c:axId val="1578301119"/>
      </c:scatterChart>
      <c:valAx>
        <c:axId val="157831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</a:t>
                </a:r>
                <a:r>
                  <a:rPr lang="en-US" baseline="0"/>
                  <a:t> Power (W)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301119"/>
        <c:crosses val="autoZero"/>
        <c:crossBetween val="midCat"/>
      </c:valAx>
      <c:valAx>
        <c:axId val="157830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31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Duty</a:t>
            </a:r>
            <a:r>
              <a:rPr lang="en-US" baseline="0"/>
              <a:t> Cycle</a:t>
            </a:r>
            <a:r>
              <a:rPr lang="en-US"/>
              <a:t> = 0.5</a:t>
            </a:r>
            <a:r>
              <a:rPr lang="en-US" baseline="0"/>
              <a:t> / </a:t>
            </a:r>
            <a:r>
              <a:rPr lang="en-US"/>
              <a:t>deadtimes = 7.5ns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Sheet1!$K$3:$K$13</c:f>
              <c:numCache>
                <c:formatCode>General</c:formatCode>
                <c:ptCount val="11"/>
                <c:pt idx="0">
                  <c:v>2.6631</c:v>
                </c:pt>
                <c:pt idx="1">
                  <c:v>4.4796000000000005</c:v>
                </c:pt>
                <c:pt idx="2">
                  <c:v>5.4265740000000005</c:v>
                </c:pt>
                <c:pt idx="3">
                  <c:v>6.511298</c:v>
                </c:pt>
                <c:pt idx="4">
                  <c:v>7.6229870000000002</c:v>
                </c:pt>
                <c:pt idx="5">
                  <c:v>10.017790000000002</c:v>
                </c:pt>
                <c:pt idx="6">
                  <c:v>13.53125</c:v>
                </c:pt>
                <c:pt idx="7">
                  <c:v>20.930800000000001</c:v>
                </c:pt>
                <c:pt idx="8">
                  <c:v>26.331990000000001</c:v>
                </c:pt>
                <c:pt idx="9">
                  <c:v>32.133200000000002</c:v>
                </c:pt>
                <c:pt idx="10">
                  <c:v>34.420279999999998</c:v>
                </c:pt>
              </c:numCache>
            </c:numRef>
          </c:xVal>
          <c:yVal>
            <c:numRef>
              <c:f>Sheet1!$M$3:$M$13</c:f>
              <c:numCache>
                <c:formatCode>0.00%</c:formatCode>
                <c:ptCount val="11"/>
                <c:pt idx="0">
                  <c:v>0.93629363991140169</c:v>
                </c:pt>
                <c:pt idx="1">
                  <c:v>0.96705669012564233</c:v>
                </c:pt>
                <c:pt idx="2">
                  <c:v>0.97672627918529564</c:v>
                </c:pt>
                <c:pt idx="3">
                  <c:v>0.97747423570297309</c:v>
                </c:pt>
                <c:pt idx="4">
                  <c:v>0.97713089371930517</c:v>
                </c:pt>
                <c:pt idx="5">
                  <c:v>0.96887128674568312</c:v>
                </c:pt>
                <c:pt idx="6">
                  <c:v>0.97093840097701956</c:v>
                </c:pt>
                <c:pt idx="7">
                  <c:v>0.964405445802762</c:v>
                </c:pt>
                <c:pt idx="8">
                  <c:v>0.94600457338705468</c:v>
                </c:pt>
                <c:pt idx="9">
                  <c:v>0.95251928563128585</c:v>
                </c:pt>
                <c:pt idx="10">
                  <c:v>0.94592133142428425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E3-47E1-A1AB-96CC3E5A3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8310271"/>
        <c:axId val="1578301119"/>
      </c:scatterChart>
      <c:valAx>
        <c:axId val="157831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</a:t>
                </a:r>
                <a:r>
                  <a:rPr lang="en-US" baseline="0"/>
                  <a:t> Power (W)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301119"/>
        <c:crosses val="autoZero"/>
        <c:crossBetween val="midCat"/>
      </c:valAx>
      <c:valAx>
        <c:axId val="157830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31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15</xdr:row>
      <xdr:rowOff>123825</xdr:rowOff>
    </xdr:from>
    <xdr:to>
      <xdr:col>12</xdr:col>
      <xdr:colOff>171450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448051-2664-49AF-B452-6718D10A3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123825</xdr:colOff>
      <xdr:row>11</xdr:row>
      <xdr:rowOff>171450</xdr:rowOff>
    </xdr:from>
    <xdr:to>
      <xdr:col>21</xdr:col>
      <xdr:colOff>428625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E4255E-9F6D-4038-898B-048BEC317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571500</xdr:colOff>
      <xdr:row>16</xdr:row>
      <xdr:rowOff>57150</xdr:rowOff>
    </xdr:from>
    <xdr:to>
      <xdr:col>19</xdr:col>
      <xdr:colOff>476250</xdr:colOff>
      <xdr:row>30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4C18C3-A78B-4389-B77D-E34ABC11D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C93C-468A-4B5B-ACC3-BA341E1A3401}">
  <dimension ref="A1:M22"/>
  <sheetViews>
    <sheetView workbookViewId="0">
      <selection activeCell="M13" sqref="M13"/>
    </sheetView>
  </sheetViews>
  <sheetFormatPr defaultRowHeight="15" x14ac:dyDescent="0.25"/>
  <cols>
    <col min="1" max="1" width="11" bestFit="1" customWidth="1"/>
    <col min="2" max="2" width="10.85546875" bestFit="1" customWidth="1"/>
    <col min="3" max="3" width="10.42578125" bestFit="1" customWidth="1"/>
    <col min="4" max="4" width="11" bestFit="1" customWidth="1"/>
    <col min="5" max="5" width="10.85546875" bestFit="1" customWidth="1"/>
    <col min="6" max="6" width="10.42578125" bestFit="1" customWidth="1"/>
    <col min="7" max="7" width="11" bestFit="1" customWidth="1"/>
    <col min="8" max="8" width="10.85546875" bestFit="1" customWidth="1"/>
    <col min="9" max="9" width="10.42578125" bestFit="1" customWidth="1"/>
    <col min="10" max="10" width="11.85546875" bestFit="1" customWidth="1"/>
    <col min="11" max="11" width="13.5703125" bestFit="1" customWidth="1"/>
    <col min="12" max="12" width="9.5703125" bestFit="1" customWidth="1"/>
    <col min="13" max="13" width="17.42578125" bestFit="1" customWidth="1"/>
  </cols>
  <sheetData>
    <row r="1" spans="1:13" x14ac:dyDescent="0.25">
      <c r="A1" s="11" t="s">
        <v>0</v>
      </c>
      <c r="B1" s="11"/>
      <c r="C1" s="11"/>
      <c r="D1" s="11" t="s">
        <v>14</v>
      </c>
      <c r="E1" s="11"/>
      <c r="F1" s="11"/>
      <c r="G1" s="11" t="s">
        <v>15</v>
      </c>
      <c r="H1" s="11"/>
      <c r="I1" s="11"/>
      <c r="J1" t="s">
        <v>1</v>
      </c>
      <c r="K1" t="s">
        <v>2</v>
      </c>
      <c r="L1" t="s">
        <v>3</v>
      </c>
      <c r="M1" t="s">
        <v>16</v>
      </c>
    </row>
    <row r="2" spans="1:13" x14ac:dyDescent="0.25">
      <c r="A2" t="s">
        <v>13</v>
      </c>
      <c r="B2" t="s">
        <v>11</v>
      </c>
      <c r="C2" t="s">
        <v>12</v>
      </c>
      <c r="D2" t="s">
        <v>13</v>
      </c>
      <c r="E2" t="s">
        <v>11</v>
      </c>
      <c r="F2" t="s">
        <v>12</v>
      </c>
      <c r="G2" t="s">
        <v>13</v>
      </c>
      <c r="H2" t="s">
        <v>11</v>
      </c>
      <c r="I2" t="s">
        <v>12</v>
      </c>
      <c r="J2" t="s">
        <v>12</v>
      </c>
      <c r="K2" t="s">
        <v>17</v>
      </c>
      <c r="L2" t="s">
        <v>18</v>
      </c>
    </row>
    <row r="3" spans="1:13" x14ac:dyDescent="0.25">
      <c r="A3" s="2">
        <v>9.98</v>
      </c>
      <c r="B3" s="2">
        <v>0.28499999999999998</v>
      </c>
      <c r="C3" s="2">
        <f>A3*B3</f>
        <v>2.8443000000000001</v>
      </c>
      <c r="D3" s="2">
        <v>4.0199999999999996</v>
      </c>
      <c r="E3" s="2">
        <v>0.32500000000000001</v>
      </c>
      <c r="F3" s="2">
        <f>D3*E3</f>
        <v>1.3065</v>
      </c>
      <c r="G3" s="2">
        <v>4.2</v>
      </c>
      <c r="H3" s="2">
        <v>0.32300000000000001</v>
      </c>
      <c r="I3" s="2">
        <f>G3*H3</f>
        <v>1.3566</v>
      </c>
      <c r="J3" s="2">
        <f>C3</f>
        <v>2.8443000000000001</v>
      </c>
      <c r="K3" s="2">
        <f>F3+I3</f>
        <v>2.6631</v>
      </c>
      <c r="L3" s="4">
        <f>K3/J3</f>
        <v>0.93629363991140169</v>
      </c>
      <c r="M3" s="2" t="s">
        <v>5</v>
      </c>
    </row>
    <row r="4" spans="1:13" x14ac:dyDescent="0.25">
      <c r="A4" s="2">
        <v>10.07</v>
      </c>
      <c r="B4" s="2">
        <v>0.46</v>
      </c>
      <c r="C4" s="2">
        <f t="shared" ref="C4:C10" si="0">A4*B4</f>
        <v>4.6322000000000001</v>
      </c>
      <c r="D4" s="2">
        <v>4.05</v>
      </c>
      <c r="E4" s="2">
        <v>0.54400000000000004</v>
      </c>
      <c r="F4" s="2">
        <f t="shared" ref="F4:F10" si="1">D4*E4</f>
        <v>2.2032000000000003</v>
      </c>
      <c r="G4" s="2">
        <v>4.2</v>
      </c>
      <c r="H4" s="2">
        <v>0.54200000000000004</v>
      </c>
      <c r="I4" s="2">
        <f t="shared" ref="I4:I10" si="2">G4*H4</f>
        <v>2.2764000000000002</v>
      </c>
      <c r="J4" s="2">
        <f t="shared" ref="J4:J10" si="3">C4</f>
        <v>4.6322000000000001</v>
      </c>
      <c r="K4" s="2">
        <f t="shared" ref="K4:K10" si="4">F4+I4</f>
        <v>4.4796000000000005</v>
      </c>
      <c r="L4" s="4">
        <f t="shared" ref="L4:L10" si="5">K4/J4</f>
        <v>0.96705669012564233</v>
      </c>
      <c r="M4" s="2" t="s">
        <v>22</v>
      </c>
    </row>
    <row r="5" spans="1:13" x14ac:dyDescent="0.25">
      <c r="A5" s="2">
        <v>10.119999999999999</v>
      </c>
      <c r="B5" s="2">
        <v>0.54900000000000004</v>
      </c>
      <c r="C5" s="2">
        <f t="shared" si="0"/>
        <v>5.5558800000000002</v>
      </c>
      <c r="D5" s="2">
        <v>4.07</v>
      </c>
      <c r="E5" s="2">
        <v>0.65500000000000003</v>
      </c>
      <c r="F5" s="2">
        <f t="shared" si="1"/>
        <v>2.6658500000000003</v>
      </c>
      <c r="G5" s="2">
        <v>4.22</v>
      </c>
      <c r="H5" s="2">
        <v>0.6542</v>
      </c>
      <c r="I5" s="2">
        <f t="shared" si="2"/>
        <v>2.7607239999999997</v>
      </c>
      <c r="J5" s="2">
        <f t="shared" si="3"/>
        <v>5.5558800000000002</v>
      </c>
      <c r="K5" s="2">
        <f t="shared" si="4"/>
        <v>5.4265740000000005</v>
      </c>
      <c r="L5" s="4">
        <f t="shared" si="5"/>
        <v>0.97672627918529564</v>
      </c>
      <c r="M5" s="2" t="s">
        <v>23</v>
      </c>
    </row>
    <row r="6" spans="1:13" x14ac:dyDescent="0.25">
      <c r="A6" s="2">
        <v>10.17</v>
      </c>
      <c r="B6" s="2">
        <v>0.65500000000000003</v>
      </c>
      <c r="C6" s="2">
        <f t="shared" si="0"/>
        <v>6.6613500000000005</v>
      </c>
      <c r="D6" s="2">
        <v>4.07</v>
      </c>
      <c r="E6" s="2">
        <v>0.78600000000000003</v>
      </c>
      <c r="F6" s="2">
        <f t="shared" si="1"/>
        <v>3.1990200000000004</v>
      </c>
      <c r="G6" s="2">
        <v>4.22</v>
      </c>
      <c r="H6" s="2">
        <v>0.78490000000000004</v>
      </c>
      <c r="I6" s="2">
        <f t="shared" si="2"/>
        <v>3.3122780000000001</v>
      </c>
      <c r="J6" s="2">
        <f t="shared" si="3"/>
        <v>6.6613500000000005</v>
      </c>
      <c r="K6" s="2">
        <f t="shared" si="4"/>
        <v>6.511298</v>
      </c>
      <c r="L6" s="4">
        <f t="shared" si="5"/>
        <v>0.97747423570297309</v>
      </c>
      <c r="M6" s="2" t="s">
        <v>7</v>
      </c>
    </row>
    <row r="7" spans="1:13" x14ac:dyDescent="0.25">
      <c r="A7" s="2">
        <v>10.23</v>
      </c>
      <c r="B7" s="2">
        <v>0.76259999999999994</v>
      </c>
      <c r="C7" s="2">
        <f t="shared" si="0"/>
        <v>7.8013979999999998</v>
      </c>
      <c r="D7" s="2">
        <v>4.07</v>
      </c>
      <c r="E7" s="2">
        <v>0.92010000000000003</v>
      </c>
      <c r="F7" s="2">
        <f t="shared" si="1"/>
        <v>3.7448070000000002</v>
      </c>
      <c r="G7" s="2">
        <v>4.22</v>
      </c>
      <c r="H7" s="2">
        <v>0.91900000000000004</v>
      </c>
      <c r="I7" s="2">
        <f t="shared" si="2"/>
        <v>3.87818</v>
      </c>
      <c r="J7" s="2">
        <f t="shared" si="3"/>
        <v>7.8013979999999998</v>
      </c>
      <c r="K7" s="2">
        <f t="shared" si="4"/>
        <v>7.6229870000000002</v>
      </c>
      <c r="L7" s="4">
        <f t="shared" si="5"/>
        <v>0.97713089371930517</v>
      </c>
      <c r="M7" s="2" t="s">
        <v>8</v>
      </c>
    </row>
    <row r="8" spans="1:13" x14ac:dyDescent="0.25">
      <c r="A8" s="2">
        <v>10.35</v>
      </c>
      <c r="B8" s="2">
        <v>0.999</v>
      </c>
      <c r="C8" s="2">
        <f t="shared" si="0"/>
        <v>10.339649999999999</v>
      </c>
      <c r="D8" s="2">
        <v>4.07</v>
      </c>
      <c r="E8" s="2">
        <v>1.2050000000000001</v>
      </c>
      <c r="F8" s="2">
        <f t="shared" si="1"/>
        <v>4.9043500000000009</v>
      </c>
      <c r="G8" s="2">
        <v>4.24</v>
      </c>
      <c r="H8" s="2">
        <v>1.206</v>
      </c>
      <c r="I8" s="2">
        <f t="shared" si="2"/>
        <v>5.1134399999999998</v>
      </c>
      <c r="J8" s="2">
        <f t="shared" si="3"/>
        <v>10.339649999999999</v>
      </c>
      <c r="K8" s="2">
        <f t="shared" si="4"/>
        <v>10.017790000000002</v>
      </c>
      <c r="L8" s="4">
        <f t="shared" si="5"/>
        <v>0.96887128674568312</v>
      </c>
      <c r="M8" s="2" t="s">
        <v>9</v>
      </c>
    </row>
    <row r="9" spans="1:13" x14ac:dyDescent="0.25">
      <c r="A9" s="2">
        <v>10.51</v>
      </c>
      <c r="B9" s="2">
        <v>1.3260000000000001</v>
      </c>
      <c r="C9" s="2">
        <f t="shared" si="0"/>
        <v>13.936260000000001</v>
      </c>
      <c r="D9" s="2">
        <v>4.0999999999999996</v>
      </c>
      <c r="E9" s="2">
        <v>1.62</v>
      </c>
      <c r="F9" s="2">
        <f t="shared" si="1"/>
        <v>6.6419999999999995</v>
      </c>
      <c r="G9" s="2">
        <v>4.25</v>
      </c>
      <c r="H9" s="2">
        <v>1.621</v>
      </c>
      <c r="I9" s="2">
        <f t="shared" si="2"/>
        <v>6.8892499999999997</v>
      </c>
      <c r="J9" s="2">
        <f t="shared" si="3"/>
        <v>13.936260000000001</v>
      </c>
      <c r="K9" s="2">
        <f t="shared" si="4"/>
        <v>13.53125</v>
      </c>
      <c r="L9" s="4">
        <f t="shared" si="5"/>
        <v>0.97093840097701956</v>
      </c>
      <c r="M9" s="2" t="s">
        <v>24</v>
      </c>
    </row>
    <row r="10" spans="1:13" x14ac:dyDescent="0.25">
      <c r="A10" s="2">
        <v>10.83</v>
      </c>
      <c r="B10" s="2">
        <v>2.004</v>
      </c>
      <c r="C10" s="2">
        <f t="shared" si="0"/>
        <v>21.703320000000001</v>
      </c>
      <c r="D10" s="2">
        <v>4.1500000000000004</v>
      </c>
      <c r="E10" s="2">
        <v>2.476</v>
      </c>
      <c r="F10" s="2">
        <f t="shared" si="1"/>
        <v>10.275400000000001</v>
      </c>
      <c r="G10" s="2">
        <v>4.3</v>
      </c>
      <c r="H10" s="2">
        <v>2.4780000000000002</v>
      </c>
      <c r="I10" s="2">
        <f t="shared" si="2"/>
        <v>10.6554</v>
      </c>
      <c r="J10" s="2">
        <f t="shared" si="3"/>
        <v>21.703320000000001</v>
      </c>
      <c r="K10" s="2">
        <f t="shared" si="4"/>
        <v>20.930800000000001</v>
      </c>
      <c r="L10" s="4">
        <f t="shared" si="5"/>
        <v>0.964405445802762</v>
      </c>
      <c r="M10" s="2" t="s">
        <v>25</v>
      </c>
    </row>
    <row r="11" spans="1:13" x14ac:dyDescent="0.25">
      <c r="A11" s="5">
        <v>11.05</v>
      </c>
      <c r="B11" s="5">
        <v>2.5190000000000001</v>
      </c>
      <c r="C11" s="5">
        <f t="shared" ref="C11:C12" si="6">A11*B11</f>
        <v>27.834950000000003</v>
      </c>
      <c r="D11" s="5">
        <v>4.16</v>
      </c>
      <c r="E11" s="5">
        <v>3.1</v>
      </c>
      <c r="F11" s="5">
        <f t="shared" ref="F11:F12" si="7">D11*E11</f>
        <v>12.896000000000001</v>
      </c>
      <c r="G11" s="5">
        <v>4.33</v>
      </c>
      <c r="H11" s="5">
        <v>3.1030000000000002</v>
      </c>
      <c r="I11" s="5">
        <f t="shared" ref="I11:I12" si="8">G11*H11</f>
        <v>13.43599</v>
      </c>
      <c r="J11" s="5">
        <f t="shared" ref="J11:J12" si="9">C11</f>
        <v>27.834950000000003</v>
      </c>
      <c r="K11" s="5">
        <f t="shared" ref="K11:K12" si="10">F11+I11</f>
        <v>26.331990000000001</v>
      </c>
      <c r="L11" s="4">
        <f t="shared" ref="L11:L12" si="11">K11/J11</f>
        <v>0.94600457338705468</v>
      </c>
      <c r="M11" s="5" t="s">
        <v>26</v>
      </c>
    </row>
    <row r="12" spans="1:13" x14ac:dyDescent="0.25">
      <c r="A12" s="5">
        <v>11.26</v>
      </c>
      <c r="B12" s="5">
        <v>2.996</v>
      </c>
      <c r="C12" s="5">
        <f t="shared" si="6"/>
        <v>33.734960000000001</v>
      </c>
      <c r="D12" s="5">
        <v>4.24</v>
      </c>
      <c r="E12" s="5">
        <v>3.7090000000000001</v>
      </c>
      <c r="F12" s="5">
        <f t="shared" si="7"/>
        <v>15.726160000000002</v>
      </c>
      <c r="G12" s="5">
        <v>4.42</v>
      </c>
      <c r="H12" s="5">
        <v>3.7120000000000002</v>
      </c>
      <c r="I12" s="5">
        <f t="shared" si="8"/>
        <v>16.407040000000002</v>
      </c>
      <c r="J12" s="5">
        <f t="shared" si="9"/>
        <v>33.734960000000001</v>
      </c>
      <c r="K12" s="5">
        <f t="shared" si="10"/>
        <v>32.133200000000002</v>
      </c>
      <c r="L12" s="4">
        <f t="shared" si="11"/>
        <v>0.95251928563128585</v>
      </c>
      <c r="M12" s="5" t="s">
        <v>9</v>
      </c>
    </row>
    <row r="13" spans="1:13" x14ac:dyDescent="0.25">
      <c r="A13" s="5">
        <v>11.35</v>
      </c>
      <c r="B13" s="5">
        <v>3.206</v>
      </c>
      <c r="C13" s="5">
        <f t="shared" ref="C13" si="12">A13*B13</f>
        <v>36.388100000000001</v>
      </c>
      <c r="D13" s="5">
        <v>4.24</v>
      </c>
      <c r="E13" s="5">
        <v>3.968</v>
      </c>
      <c r="F13" s="5">
        <f t="shared" ref="F13" si="13">D13*E13</f>
        <v>16.82432</v>
      </c>
      <c r="G13" s="5">
        <v>4.43</v>
      </c>
      <c r="H13" s="5">
        <v>3.972</v>
      </c>
      <c r="I13" s="5">
        <f t="shared" ref="I13" si="14">G13*H13</f>
        <v>17.595959999999998</v>
      </c>
      <c r="J13" s="5">
        <f t="shared" ref="J13" si="15">C13</f>
        <v>36.388100000000001</v>
      </c>
      <c r="K13" s="5">
        <f t="shared" ref="K13" si="16">F13+I13</f>
        <v>34.420279999999998</v>
      </c>
      <c r="L13" s="4">
        <f t="shared" ref="L13" si="17">K13/J13</f>
        <v>0.94592133142428425</v>
      </c>
      <c r="M13" s="5" t="s">
        <v>27</v>
      </c>
    </row>
    <row r="14" spans="1:1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4"/>
      <c r="M14" s="5"/>
    </row>
    <row r="15" spans="1:13" x14ac:dyDescent="0.25">
      <c r="L15" s="1"/>
    </row>
    <row r="16" spans="1:13" x14ac:dyDescent="0.25">
      <c r="L16" s="1"/>
    </row>
    <row r="17" spans="12:12" x14ac:dyDescent="0.25">
      <c r="L17" s="1"/>
    </row>
    <row r="18" spans="12:12" x14ac:dyDescent="0.25">
      <c r="L18" s="1"/>
    </row>
    <row r="19" spans="12:12" x14ac:dyDescent="0.25">
      <c r="L19" s="1"/>
    </row>
    <row r="20" spans="12:12" x14ac:dyDescent="0.25">
      <c r="L20" s="1"/>
    </row>
    <row r="21" spans="12:12" x14ac:dyDescent="0.25">
      <c r="L21" s="1"/>
    </row>
    <row r="22" spans="12:12" x14ac:dyDescent="0.25">
      <c r="L22" s="1"/>
    </row>
  </sheetData>
  <mergeCells count="3">
    <mergeCell ref="A1:C1"/>
    <mergeCell ref="D1:F1"/>
    <mergeCell ref="G1:I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3C4B-AEFD-47EC-89D4-9A245DEC5ED9}">
  <dimension ref="A1:M22"/>
  <sheetViews>
    <sheetView workbookViewId="0">
      <selection activeCell="E15" sqref="E15"/>
    </sheetView>
  </sheetViews>
  <sheetFormatPr defaultRowHeight="15" x14ac:dyDescent="0.25"/>
  <cols>
    <col min="1" max="1" width="11" bestFit="1" customWidth="1"/>
    <col min="2" max="2" width="10.85546875" bestFit="1" customWidth="1"/>
    <col min="3" max="3" width="10.42578125" bestFit="1" customWidth="1"/>
    <col min="4" max="4" width="11" bestFit="1" customWidth="1"/>
    <col min="5" max="5" width="10.85546875" bestFit="1" customWidth="1"/>
    <col min="6" max="6" width="10.42578125" bestFit="1" customWidth="1"/>
    <col min="7" max="7" width="11" bestFit="1" customWidth="1"/>
    <col min="8" max="8" width="10.85546875" bestFit="1" customWidth="1"/>
    <col min="9" max="9" width="10.42578125" bestFit="1" customWidth="1"/>
    <col min="10" max="10" width="11.85546875" bestFit="1" customWidth="1"/>
    <col min="11" max="11" width="13.5703125" bestFit="1" customWidth="1"/>
    <col min="12" max="12" width="9.5703125" bestFit="1" customWidth="1"/>
    <col min="13" max="13" width="28.85546875" customWidth="1"/>
  </cols>
  <sheetData>
    <row r="1" spans="1:13" x14ac:dyDescent="0.25">
      <c r="A1" s="11" t="s">
        <v>0</v>
      </c>
      <c r="B1" s="11"/>
      <c r="C1" s="11"/>
      <c r="D1" s="11" t="s">
        <v>14</v>
      </c>
      <c r="E1" s="11"/>
      <c r="F1" s="11"/>
      <c r="G1" s="11" t="s">
        <v>15</v>
      </c>
      <c r="H1" s="11"/>
      <c r="I1" s="11"/>
      <c r="J1" t="s">
        <v>1</v>
      </c>
      <c r="K1" t="s">
        <v>2</v>
      </c>
      <c r="L1" t="s">
        <v>3</v>
      </c>
      <c r="M1" t="s">
        <v>16</v>
      </c>
    </row>
    <row r="2" spans="1:13" x14ac:dyDescent="0.25">
      <c r="A2" t="s">
        <v>13</v>
      </c>
      <c r="B2" t="s">
        <v>11</v>
      </c>
      <c r="C2" t="s">
        <v>12</v>
      </c>
      <c r="D2" t="s">
        <v>13</v>
      </c>
      <c r="E2" t="s">
        <v>11</v>
      </c>
      <c r="F2" t="s">
        <v>12</v>
      </c>
      <c r="G2" t="s">
        <v>13</v>
      </c>
      <c r="H2" t="s">
        <v>11</v>
      </c>
      <c r="I2" t="s">
        <v>12</v>
      </c>
      <c r="J2" t="s">
        <v>12</v>
      </c>
      <c r="K2" t="s">
        <v>17</v>
      </c>
      <c r="L2" t="s">
        <v>18</v>
      </c>
    </row>
    <row r="3" spans="1:13" x14ac:dyDescent="0.25">
      <c r="A3" s="3">
        <v>13.58</v>
      </c>
      <c r="B3" s="3">
        <v>0.29970000000000002</v>
      </c>
      <c r="C3" s="3">
        <f>A3*B3</f>
        <v>4.0699260000000006</v>
      </c>
      <c r="D3" s="3">
        <v>4.04</v>
      </c>
      <c r="E3" s="3">
        <v>0.38200000000000001</v>
      </c>
      <c r="F3" s="3">
        <f>D3*E3</f>
        <v>1.54328</v>
      </c>
      <c r="G3" s="3">
        <v>4.1399999999999997</v>
      </c>
      <c r="H3" s="3">
        <v>0.4</v>
      </c>
      <c r="I3" s="3">
        <f t="shared" ref="I3:I10" si="0">G3*H3</f>
        <v>1.6559999999999999</v>
      </c>
      <c r="J3" s="3">
        <f>C3</f>
        <v>4.0699260000000006</v>
      </c>
      <c r="K3" s="3">
        <f>F3+I3</f>
        <v>3.1992799999999999</v>
      </c>
      <c r="L3" s="4">
        <f>K3/J3</f>
        <v>0.78607817439432548</v>
      </c>
      <c r="M3" s="3" t="s">
        <v>5</v>
      </c>
    </row>
    <row r="4" spans="1:13" x14ac:dyDescent="0.25">
      <c r="A4" s="3">
        <v>13.58</v>
      </c>
      <c r="B4" s="3">
        <v>0.36080000000000001</v>
      </c>
      <c r="C4" s="3">
        <f t="shared" ref="C4:C10" si="1">A4*B4</f>
        <v>4.8996640000000005</v>
      </c>
      <c r="D4" s="3">
        <v>3.94</v>
      </c>
      <c r="E4" s="3">
        <v>0.4879</v>
      </c>
      <c r="F4" s="3">
        <f t="shared" ref="F4:F10" si="2">D4*E4</f>
        <v>1.922326</v>
      </c>
      <c r="G4" s="3">
        <v>4.1500000000000004</v>
      </c>
      <c r="H4" s="3">
        <v>0.5</v>
      </c>
      <c r="I4" s="3">
        <f t="shared" si="0"/>
        <v>2.0750000000000002</v>
      </c>
      <c r="J4" s="3">
        <f t="shared" ref="J4:J10" si="3">C4</f>
        <v>4.8996640000000005</v>
      </c>
      <c r="K4" s="3">
        <f t="shared" ref="K4:K10" si="4">F4+I4</f>
        <v>3.9973260000000002</v>
      </c>
      <c r="L4" s="4">
        <f t="shared" ref="L4:L10" si="5">K4/J4</f>
        <v>0.81583675941860501</v>
      </c>
      <c r="M4" s="3" t="s">
        <v>4</v>
      </c>
    </row>
    <row r="5" spans="1:13" x14ac:dyDescent="0.25">
      <c r="A5" s="3">
        <v>13.58</v>
      </c>
      <c r="B5" s="3">
        <v>0.45129999999999998</v>
      </c>
      <c r="C5" s="3">
        <f t="shared" si="1"/>
        <v>6.128654</v>
      </c>
      <c r="D5" s="3">
        <v>3.92</v>
      </c>
      <c r="E5" s="3">
        <v>0.64300000000000002</v>
      </c>
      <c r="F5" s="3">
        <f t="shared" si="2"/>
        <v>2.5205600000000001</v>
      </c>
      <c r="G5" s="3">
        <v>4.0599999999999996</v>
      </c>
      <c r="H5" s="3">
        <v>0.65139999999999998</v>
      </c>
      <c r="I5" s="3">
        <f t="shared" si="0"/>
        <v>2.6446839999999998</v>
      </c>
      <c r="J5" s="3">
        <f t="shared" si="3"/>
        <v>6.128654</v>
      </c>
      <c r="K5" s="3">
        <f t="shared" si="4"/>
        <v>5.1652439999999995</v>
      </c>
      <c r="L5" s="4">
        <f t="shared" si="5"/>
        <v>0.8428023510545708</v>
      </c>
      <c r="M5" s="3" t="s">
        <v>6</v>
      </c>
    </row>
    <row r="6" spans="1:13" x14ac:dyDescent="0.25">
      <c r="A6" s="3">
        <v>9.9600000000000009</v>
      </c>
      <c r="B6" s="3">
        <v>0.69740000000000002</v>
      </c>
      <c r="C6" s="3">
        <f t="shared" si="1"/>
        <v>6.9461040000000009</v>
      </c>
      <c r="D6" s="3">
        <v>4.07</v>
      </c>
      <c r="E6" s="3">
        <v>0.78580000000000005</v>
      </c>
      <c r="F6" s="3">
        <f t="shared" si="2"/>
        <v>3.1982060000000003</v>
      </c>
      <c r="G6" s="3">
        <v>4.0599999999999996</v>
      </c>
      <c r="H6" s="3">
        <v>0.78410000000000002</v>
      </c>
      <c r="I6" s="3">
        <f t="shared" si="0"/>
        <v>3.1834459999999996</v>
      </c>
      <c r="J6" s="3">
        <f t="shared" si="3"/>
        <v>6.9461040000000009</v>
      </c>
      <c r="K6" s="3">
        <f t="shared" si="4"/>
        <v>6.3816519999999999</v>
      </c>
      <c r="L6" s="4">
        <f t="shared" si="5"/>
        <v>0.91873833158847018</v>
      </c>
      <c r="M6" s="3" t="s">
        <v>7</v>
      </c>
    </row>
    <row r="7" spans="1:13" x14ac:dyDescent="0.25">
      <c r="A7" s="3">
        <v>9.9600000000000009</v>
      </c>
      <c r="B7" s="3">
        <v>0.84470000000000001</v>
      </c>
      <c r="C7" s="3">
        <f t="shared" si="1"/>
        <v>8.4132120000000015</v>
      </c>
      <c r="D7" s="3">
        <v>4.04</v>
      </c>
      <c r="E7" s="3">
        <v>0.97330000000000005</v>
      </c>
      <c r="F7" s="3">
        <f t="shared" si="2"/>
        <v>3.9321320000000002</v>
      </c>
      <c r="G7" s="3">
        <v>4.03</v>
      </c>
      <c r="H7" s="3">
        <v>0.97109999999999996</v>
      </c>
      <c r="I7" s="3">
        <f t="shared" si="0"/>
        <v>3.9135330000000002</v>
      </c>
      <c r="J7" s="3">
        <f t="shared" si="3"/>
        <v>8.4132120000000015</v>
      </c>
      <c r="K7" s="3">
        <f t="shared" si="4"/>
        <v>7.8456650000000003</v>
      </c>
      <c r="L7" s="4">
        <f t="shared" si="5"/>
        <v>0.93254098434700072</v>
      </c>
      <c r="M7" s="3" t="s">
        <v>8</v>
      </c>
    </row>
    <row r="8" spans="1:13" x14ac:dyDescent="0.25">
      <c r="A8" s="3">
        <v>14.99</v>
      </c>
      <c r="B8" s="3">
        <v>0.69399999999999995</v>
      </c>
      <c r="C8" s="3">
        <f t="shared" si="1"/>
        <v>10.40306</v>
      </c>
      <c r="D8" s="3">
        <v>4.0999999999999996</v>
      </c>
      <c r="E8" s="3">
        <v>0.99729999999999996</v>
      </c>
      <c r="F8" s="3">
        <f t="shared" si="2"/>
        <v>4.0889299999999995</v>
      </c>
      <c r="G8" s="3">
        <v>4.28</v>
      </c>
      <c r="H8" s="3">
        <v>1.0780000000000001</v>
      </c>
      <c r="I8" s="3">
        <f t="shared" si="0"/>
        <v>4.6138400000000006</v>
      </c>
      <c r="J8" s="3">
        <f t="shared" si="3"/>
        <v>10.40306</v>
      </c>
      <c r="K8" s="3">
        <f t="shared" si="4"/>
        <v>8.702770000000001</v>
      </c>
      <c r="L8" s="4">
        <f t="shared" si="5"/>
        <v>0.83655866639238852</v>
      </c>
      <c r="M8" s="3" t="s">
        <v>9</v>
      </c>
    </row>
    <row r="9" spans="1:13" x14ac:dyDescent="0.25">
      <c r="A9" s="3">
        <v>13.99</v>
      </c>
      <c r="B9" s="3">
        <v>0.2394</v>
      </c>
      <c r="C9" s="3">
        <f t="shared" si="1"/>
        <v>3.3492060000000001</v>
      </c>
      <c r="D9" s="3">
        <v>4.0199999999999996</v>
      </c>
      <c r="E9" s="3">
        <v>0.33900000000000002</v>
      </c>
      <c r="F9" s="3">
        <f t="shared" si="2"/>
        <v>1.3627799999999999</v>
      </c>
      <c r="G9" s="3">
        <v>4.22</v>
      </c>
      <c r="H9" s="3">
        <v>0.35160000000000002</v>
      </c>
      <c r="I9" s="3">
        <f t="shared" si="0"/>
        <v>1.483752</v>
      </c>
      <c r="J9" s="3">
        <f t="shared" si="3"/>
        <v>3.3492060000000001</v>
      </c>
      <c r="K9" s="3">
        <f t="shared" si="4"/>
        <v>2.8465319999999998</v>
      </c>
      <c r="L9" s="4">
        <f t="shared" si="5"/>
        <v>0.84991248672073316</v>
      </c>
      <c r="M9" s="3" t="s">
        <v>21</v>
      </c>
    </row>
    <row r="10" spans="1:13" x14ac:dyDescent="0.25">
      <c r="A10" s="3">
        <v>13.97</v>
      </c>
      <c r="B10" s="3">
        <v>0.46300000000000002</v>
      </c>
      <c r="C10" s="3">
        <f t="shared" si="1"/>
        <v>6.4681100000000002</v>
      </c>
      <c r="D10" s="3">
        <v>4</v>
      </c>
      <c r="E10" s="3">
        <v>0.65900000000000003</v>
      </c>
      <c r="F10" s="3">
        <f t="shared" si="2"/>
        <v>2.6360000000000001</v>
      </c>
      <c r="G10" s="3">
        <v>4.1500000000000004</v>
      </c>
      <c r="H10" s="3">
        <v>0.67</v>
      </c>
      <c r="I10" s="3">
        <f t="shared" si="0"/>
        <v>2.7805000000000004</v>
      </c>
      <c r="J10" s="3">
        <f t="shared" si="3"/>
        <v>6.4681100000000002</v>
      </c>
      <c r="K10" s="3">
        <f t="shared" si="4"/>
        <v>5.416500000000001</v>
      </c>
      <c r="L10" s="4">
        <f t="shared" si="5"/>
        <v>0.83741618494428838</v>
      </c>
      <c r="M10" s="3" t="s">
        <v>20</v>
      </c>
    </row>
    <row r="11" spans="1:13" x14ac:dyDescent="0.25">
      <c r="L11" s="1"/>
    </row>
    <row r="12" spans="1:13" x14ac:dyDescent="0.25">
      <c r="L12" s="1"/>
    </row>
    <row r="13" spans="1:13" x14ac:dyDescent="0.25">
      <c r="L13" s="1"/>
    </row>
    <row r="14" spans="1:13" x14ac:dyDescent="0.25">
      <c r="L14" s="1"/>
    </row>
    <row r="15" spans="1:13" x14ac:dyDescent="0.25">
      <c r="L15" s="1"/>
    </row>
    <row r="16" spans="1:13" x14ac:dyDescent="0.25">
      <c r="L16" s="1"/>
    </row>
    <row r="17" spans="1:13" x14ac:dyDescent="0.25">
      <c r="L17" s="1"/>
    </row>
    <row r="18" spans="1:13" x14ac:dyDescent="0.25">
      <c r="A18" s="11" t="s">
        <v>0</v>
      </c>
      <c r="B18" s="11"/>
      <c r="C18" s="11"/>
      <c r="D18" s="11" t="s">
        <v>14</v>
      </c>
      <c r="E18" s="11"/>
      <c r="F18" s="11"/>
      <c r="G18" s="11" t="s">
        <v>15</v>
      </c>
      <c r="H18" s="11"/>
      <c r="I18" s="11"/>
      <c r="J18" t="s">
        <v>1</v>
      </c>
      <c r="K18" t="s">
        <v>2</v>
      </c>
      <c r="L18" t="s">
        <v>3</v>
      </c>
      <c r="M18" t="s">
        <v>16</v>
      </c>
    </row>
    <row r="19" spans="1:13" x14ac:dyDescent="0.25">
      <c r="A19" t="s">
        <v>13</v>
      </c>
      <c r="B19" t="s">
        <v>11</v>
      </c>
      <c r="C19" t="s">
        <v>12</v>
      </c>
      <c r="D19" t="s">
        <v>13</v>
      </c>
      <c r="E19" t="s">
        <v>11</v>
      </c>
      <c r="F19" t="s">
        <v>12</v>
      </c>
      <c r="G19" t="s">
        <v>13</v>
      </c>
      <c r="H19" t="s">
        <v>11</v>
      </c>
      <c r="I19" t="s">
        <v>12</v>
      </c>
      <c r="J19" t="s">
        <v>12</v>
      </c>
      <c r="K19" t="s">
        <v>17</v>
      </c>
      <c r="L19" t="s">
        <v>18</v>
      </c>
    </row>
    <row r="20" spans="1:13" x14ac:dyDescent="0.25">
      <c r="A20" s="3">
        <v>9.86</v>
      </c>
      <c r="B20" s="3">
        <v>2.7867999999999999</v>
      </c>
      <c r="C20" s="3">
        <f t="shared" ref="C20" si="6">A20*B20</f>
        <v>27.477847999999998</v>
      </c>
      <c r="D20" s="3">
        <v>3.65</v>
      </c>
      <c r="E20" s="3">
        <v>3.4373</v>
      </c>
      <c r="F20" s="3">
        <f t="shared" ref="F20" si="7">D20*E20</f>
        <v>12.546144999999999</v>
      </c>
      <c r="G20" s="3">
        <v>3.75</v>
      </c>
      <c r="H20" s="3">
        <v>3.4337</v>
      </c>
      <c r="I20" s="3">
        <f t="shared" ref="I20" si="8">G20*H20</f>
        <v>12.876374999999999</v>
      </c>
      <c r="J20" s="3">
        <f t="shared" ref="J20" si="9">C20</f>
        <v>27.477847999999998</v>
      </c>
      <c r="K20" s="3">
        <f t="shared" ref="K20" si="10">F20+I20</f>
        <v>25.422519999999999</v>
      </c>
      <c r="L20" s="4">
        <f t="shared" ref="L20" si="11">K20/J20</f>
        <v>0.92520054700062393</v>
      </c>
      <c r="M20" s="3" t="s">
        <v>10</v>
      </c>
    </row>
    <row r="21" spans="1:13" x14ac:dyDescent="0.25">
      <c r="A21" s="3">
        <v>9.86</v>
      </c>
      <c r="B21" s="3">
        <v>5.7504</v>
      </c>
      <c r="C21" s="3">
        <f t="shared" ref="C21" si="12">A21*B21</f>
        <v>56.698943999999997</v>
      </c>
      <c r="D21" s="3">
        <v>3.65</v>
      </c>
      <c r="E21" s="3">
        <v>7.2845000000000004</v>
      </c>
      <c r="F21" s="3">
        <f t="shared" ref="F21" si="13">D21*E21</f>
        <v>26.588425000000001</v>
      </c>
      <c r="G21" s="3">
        <v>3.75</v>
      </c>
      <c r="H21" s="3">
        <v>7.2839999999999998</v>
      </c>
      <c r="I21" s="3">
        <f t="shared" ref="I21" si="14">G21*H21</f>
        <v>27.314999999999998</v>
      </c>
      <c r="J21" s="3">
        <f t="shared" ref="J21" si="15">C21</f>
        <v>56.698943999999997</v>
      </c>
      <c r="K21" s="3">
        <f t="shared" ref="K21" si="16">F21+I21</f>
        <v>53.903424999999999</v>
      </c>
      <c r="L21" s="4">
        <f t="shared" ref="L21" si="17">K21/J21</f>
        <v>0.95069539566733374</v>
      </c>
      <c r="M21" s="3" t="s">
        <v>19</v>
      </c>
    </row>
    <row r="22" spans="1:13" x14ac:dyDescent="0.25">
      <c r="L22" s="1"/>
    </row>
  </sheetData>
  <mergeCells count="6">
    <mergeCell ref="A1:C1"/>
    <mergeCell ref="D1:F1"/>
    <mergeCell ref="G1:I1"/>
    <mergeCell ref="A18:C18"/>
    <mergeCell ref="D18:F18"/>
    <mergeCell ref="G18:I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9EF4-7713-43E8-A6D6-ED33F794BDED}">
  <dimension ref="A1:N13"/>
  <sheetViews>
    <sheetView topLeftCell="A4" workbookViewId="0">
      <selection activeCell="P11" sqref="P11"/>
    </sheetView>
  </sheetViews>
  <sheetFormatPr defaultRowHeight="15" x14ac:dyDescent="0.25"/>
  <cols>
    <col min="1" max="1" width="11" bestFit="1" customWidth="1"/>
    <col min="2" max="2" width="10.85546875" bestFit="1" customWidth="1"/>
    <col min="3" max="3" width="10.42578125" bestFit="1" customWidth="1"/>
    <col min="4" max="4" width="11" bestFit="1" customWidth="1"/>
    <col min="5" max="5" width="10.85546875" bestFit="1" customWidth="1"/>
    <col min="6" max="6" width="10.42578125" bestFit="1" customWidth="1"/>
    <col min="7" max="7" width="11" bestFit="1" customWidth="1"/>
    <col min="8" max="8" width="10.85546875" bestFit="1" customWidth="1"/>
    <col min="9" max="9" width="10.42578125" bestFit="1" customWidth="1"/>
    <col min="10" max="10" width="11.85546875" bestFit="1" customWidth="1"/>
    <col min="11" max="11" width="13.5703125" bestFit="1" customWidth="1"/>
    <col min="12" max="12" width="14.7109375" bestFit="1" customWidth="1"/>
    <col min="13" max="13" width="9.5703125" bestFit="1" customWidth="1"/>
    <col min="14" max="14" width="24.28515625" bestFit="1" customWidth="1"/>
  </cols>
  <sheetData>
    <row r="1" spans="1:14" x14ac:dyDescent="0.25">
      <c r="A1" s="11" t="s">
        <v>0</v>
      </c>
      <c r="B1" s="11"/>
      <c r="C1" s="11"/>
      <c r="D1" s="11" t="s">
        <v>14</v>
      </c>
      <c r="E1" s="11"/>
      <c r="F1" s="11"/>
      <c r="G1" s="11" t="s">
        <v>15</v>
      </c>
      <c r="H1" s="11"/>
      <c r="I1" s="11"/>
      <c r="J1" t="s">
        <v>1</v>
      </c>
      <c r="K1" t="s">
        <v>2</v>
      </c>
      <c r="M1" t="s">
        <v>3</v>
      </c>
      <c r="N1" t="s">
        <v>16</v>
      </c>
    </row>
    <row r="2" spans="1:14" x14ac:dyDescent="0.25">
      <c r="A2" t="s">
        <v>13</v>
      </c>
      <c r="B2" t="s">
        <v>11</v>
      </c>
      <c r="C2" t="s">
        <v>12</v>
      </c>
      <c r="D2" t="s">
        <v>13</v>
      </c>
      <c r="E2" t="s">
        <v>11</v>
      </c>
      <c r="F2" t="s">
        <v>12</v>
      </c>
      <c r="G2" t="s">
        <v>13</v>
      </c>
      <c r="H2" t="s">
        <v>11</v>
      </c>
      <c r="I2" t="s">
        <v>12</v>
      </c>
      <c r="J2" s="7" t="s">
        <v>12</v>
      </c>
      <c r="K2" s="7" t="s">
        <v>17</v>
      </c>
      <c r="L2" t="s">
        <v>31</v>
      </c>
      <c r="M2" t="s">
        <v>18</v>
      </c>
    </row>
    <row r="3" spans="1:14" x14ac:dyDescent="0.25">
      <c r="A3" s="5">
        <v>9.98</v>
      </c>
      <c r="B3" s="5">
        <v>0.28499999999999998</v>
      </c>
      <c r="C3" s="5">
        <f>A3*B3</f>
        <v>2.8443000000000001</v>
      </c>
      <c r="D3" s="5">
        <v>4.0199999999999996</v>
      </c>
      <c r="E3" s="5">
        <v>0.32500000000000001</v>
      </c>
      <c r="F3" s="5">
        <f>D3*E3</f>
        <v>1.3065</v>
      </c>
      <c r="G3" s="5">
        <v>4.2</v>
      </c>
      <c r="H3" s="5">
        <v>0.32300000000000001</v>
      </c>
      <c r="I3" s="5">
        <f>G3*H3</f>
        <v>1.3566</v>
      </c>
      <c r="J3" s="5">
        <f>C3</f>
        <v>2.8443000000000001</v>
      </c>
      <c r="K3" s="5">
        <f>F3+I3</f>
        <v>2.6631</v>
      </c>
      <c r="L3" s="7">
        <f>J3-K3</f>
        <v>0.18120000000000003</v>
      </c>
      <c r="M3" s="4">
        <f>K3/J3</f>
        <v>0.93629363991140169</v>
      </c>
      <c r="N3" s="5" t="s">
        <v>5</v>
      </c>
    </row>
    <row r="4" spans="1:14" x14ac:dyDescent="0.25">
      <c r="A4" s="5">
        <v>10.07</v>
      </c>
      <c r="B4" s="5">
        <v>0.46</v>
      </c>
      <c r="C4" s="5">
        <f t="shared" ref="C4:C13" si="0">A4*B4</f>
        <v>4.6322000000000001</v>
      </c>
      <c r="D4" s="5">
        <v>4.05</v>
      </c>
      <c r="E4" s="5">
        <v>0.54400000000000004</v>
      </c>
      <c r="F4" s="5">
        <f t="shared" ref="F4:F13" si="1">D4*E4</f>
        <v>2.2032000000000003</v>
      </c>
      <c r="G4" s="5">
        <v>4.2</v>
      </c>
      <c r="H4" s="5">
        <v>0.54200000000000004</v>
      </c>
      <c r="I4" s="5">
        <f t="shared" ref="I4:I13" si="2">G4*H4</f>
        <v>2.2764000000000002</v>
      </c>
      <c r="J4" s="5">
        <f t="shared" ref="J4:J13" si="3">C4</f>
        <v>4.6322000000000001</v>
      </c>
      <c r="K4" s="5">
        <f t="shared" ref="K4:K13" si="4">F4+I4</f>
        <v>4.4796000000000005</v>
      </c>
      <c r="L4" s="7">
        <f t="shared" ref="L4:L13" si="5">J4-K4</f>
        <v>0.15259999999999962</v>
      </c>
      <c r="M4" s="4">
        <f t="shared" ref="M4:M13" si="6">K4/J4</f>
        <v>0.96705669012564233</v>
      </c>
      <c r="N4" s="5" t="s">
        <v>22</v>
      </c>
    </row>
    <row r="5" spans="1:14" x14ac:dyDescent="0.25">
      <c r="A5" s="5">
        <v>10.119999999999999</v>
      </c>
      <c r="B5" s="5">
        <v>0.54900000000000004</v>
      </c>
      <c r="C5" s="5">
        <f t="shared" si="0"/>
        <v>5.5558800000000002</v>
      </c>
      <c r="D5" s="5">
        <v>4.07</v>
      </c>
      <c r="E5" s="5">
        <v>0.65500000000000003</v>
      </c>
      <c r="F5" s="5">
        <f t="shared" si="1"/>
        <v>2.6658500000000003</v>
      </c>
      <c r="G5" s="5">
        <v>4.22</v>
      </c>
      <c r="H5" s="5">
        <v>0.6542</v>
      </c>
      <c r="I5" s="5">
        <f t="shared" si="2"/>
        <v>2.7607239999999997</v>
      </c>
      <c r="J5" s="5">
        <f t="shared" si="3"/>
        <v>5.5558800000000002</v>
      </c>
      <c r="K5" s="5">
        <f t="shared" si="4"/>
        <v>5.4265740000000005</v>
      </c>
      <c r="L5" s="7">
        <f t="shared" si="5"/>
        <v>0.1293059999999997</v>
      </c>
      <c r="M5" s="4">
        <f t="shared" si="6"/>
        <v>0.97672627918529564</v>
      </c>
      <c r="N5" s="5" t="s">
        <v>23</v>
      </c>
    </row>
    <row r="6" spans="1:14" x14ac:dyDescent="0.25">
      <c r="A6" s="5">
        <v>10.17</v>
      </c>
      <c r="B6" s="5">
        <v>0.65500000000000003</v>
      </c>
      <c r="C6" s="5">
        <f t="shared" si="0"/>
        <v>6.6613500000000005</v>
      </c>
      <c r="D6" s="5">
        <v>4.07</v>
      </c>
      <c r="E6" s="5">
        <v>0.78600000000000003</v>
      </c>
      <c r="F6" s="5">
        <f t="shared" si="1"/>
        <v>3.1990200000000004</v>
      </c>
      <c r="G6" s="5">
        <v>4.22</v>
      </c>
      <c r="H6" s="5">
        <v>0.78490000000000004</v>
      </c>
      <c r="I6" s="5">
        <f t="shared" si="2"/>
        <v>3.3122780000000001</v>
      </c>
      <c r="J6" s="5">
        <f t="shared" si="3"/>
        <v>6.6613500000000005</v>
      </c>
      <c r="K6" s="5">
        <f t="shared" si="4"/>
        <v>6.511298</v>
      </c>
      <c r="L6" s="7">
        <f t="shared" si="5"/>
        <v>0.15005200000000052</v>
      </c>
      <c r="M6" s="4">
        <f t="shared" si="6"/>
        <v>0.97747423570297309</v>
      </c>
      <c r="N6" s="5" t="s">
        <v>7</v>
      </c>
    </row>
    <row r="7" spans="1:14" x14ac:dyDescent="0.25">
      <c r="A7" s="5">
        <v>10.23</v>
      </c>
      <c r="B7" s="5">
        <v>0.76259999999999994</v>
      </c>
      <c r="C7" s="5">
        <f t="shared" si="0"/>
        <v>7.8013979999999998</v>
      </c>
      <c r="D7" s="5">
        <v>4.07</v>
      </c>
      <c r="E7" s="5">
        <v>0.92010000000000003</v>
      </c>
      <c r="F7" s="5">
        <f t="shared" si="1"/>
        <v>3.7448070000000002</v>
      </c>
      <c r="G7" s="5">
        <v>4.22</v>
      </c>
      <c r="H7" s="5">
        <v>0.91900000000000004</v>
      </c>
      <c r="I7" s="5">
        <f t="shared" si="2"/>
        <v>3.87818</v>
      </c>
      <c r="J7" s="5">
        <f t="shared" si="3"/>
        <v>7.8013979999999998</v>
      </c>
      <c r="K7" s="5">
        <f t="shared" si="4"/>
        <v>7.6229870000000002</v>
      </c>
      <c r="L7" s="7">
        <f t="shared" si="5"/>
        <v>0.17841099999999965</v>
      </c>
      <c r="M7" s="4">
        <f t="shared" si="6"/>
        <v>0.97713089371930517</v>
      </c>
      <c r="N7" s="5" t="s">
        <v>8</v>
      </c>
    </row>
    <row r="8" spans="1:14" x14ac:dyDescent="0.25">
      <c r="A8" s="5">
        <v>10.35</v>
      </c>
      <c r="B8" s="5">
        <v>0.999</v>
      </c>
      <c r="C8" s="5">
        <f t="shared" si="0"/>
        <v>10.339649999999999</v>
      </c>
      <c r="D8" s="5">
        <v>4.07</v>
      </c>
      <c r="E8" s="5">
        <v>1.2050000000000001</v>
      </c>
      <c r="F8" s="5">
        <f t="shared" si="1"/>
        <v>4.9043500000000009</v>
      </c>
      <c r="G8" s="5">
        <v>4.24</v>
      </c>
      <c r="H8" s="5">
        <v>1.206</v>
      </c>
      <c r="I8" s="5">
        <f t="shared" si="2"/>
        <v>5.1134399999999998</v>
      </c>
      <c r="J8" s="5">
        <f t="shared" si="3"/>
        <v>10.339649999999999</v>
      </c>
      <c r="K8" s="5">
        <f t="shared" si="4"/>
        <v>10.017790000000002</v>
      </c>
      <c r="L8" s="7">
        <f t="shared" si="5"/>
        <v>0.32185999999999737</v>
      </c>
      <c r="M8" s="4">
        <f t="shared" si="6"/>
        <v>0.96887128674568312</v>
      </c>
      <c r="N8" s="5" t="s">
        <v>9</v>
      </c>
    </row>
    <row r="9" spans="1:14" x14ac:dyDescent="0.25">
      <c r="A9" s="5">
        <v>10.51</v>
      </c>
      <c r="B9" s="5">
        <v>1.3260000000000001</v>
      </c>
      <c r="C9" s="5">
        <f t="shared" si="0"/>
        <v>13.936260000000001</v>
      </c>
      <c r="D9" s="5">
        <v>4.0999999999999996</v>
      </c>
      <c r="E9" s="5">
        <v>1.62</v>
      </c>
      <c r="F9" s="5">
        <f t="shared" si="1"/>
        <v>6.6419999999999995</v>
      </c>
      <c r="G9" s="5">
        <v>4.25</v>
      </c>
      <c r="H9" s="5">
        <v>1.621</v>
      </c>
      <c r="I9" s="5">
        <f t="shared" si="2"/>
        <v>6.8892499999999997</v>
      </c>
      <c r="J9" s="5">
        <f t="shared" si="3"/>
        <v>13.936260000000001</v>
      </c>
      <c r="K9" s="5">
        <f t="shared" si="4"/>
        <v>13.53125</v>
      </c>
      <c r="L9" s="7">
        <f t="shared" si="5"/>
        <v>0.40501000000000076</v>
      </c>
      <c r="M9" s="4">
        <f t="shared" si="6"/>
        <v>0.97093840097701956</v>
      </c>
      <c r="N9" s="5" t="s">
        <v>24</v>
      </c>
    </row>
    <row r="10" spans="1:14" x14ac:dyDescent="0.25">
      <c r="A10" s="5">
        <v>10.83</v>
      </c>
      <c r="B10" s="5">
        <v>2.004</v>
      </c>
      <c r="C10" s="5">
        <f t="shared" si="0"/>
        <v>21.703320000000001</v>
      </c>
      <c r="D10" s="5">
        <v>4.1500000000000004</v>
      </c>
      <c r="E10" s="5">
        <v>2.476</v>
      </c>
      <c r="F10" s="5">
        <f t="shared" si="1"/>
        <v>10.275400000000001</v>
      </c>
      <c r="G10" s="5">
        <v>4.3</v>
      </c>
      <c r="H10" s="5">
        <v>2.4780000000000002</v>
      </c>
      <c r="I10" s="5">
        <f t="shared" si="2"/>
        <v>10.6554</v>
      </c>
      <c r="J10" s="5">
        <f t="shared" si="3"/>
        <v>21.703320000000001</v>
      </c>
      <c r="K10" s="5">
        <f t="shared" si="4"/>
        <v>20.930800000000001</v>
      </c>
      <c r="L10" s="7">
        <f t="shared" si="5"/>
        <v>0.7725200000000001</v>
      </c>
      <c r="M10" s="4">
        <f t="shared" si="6"/>
        <v>0.964405445802762</v>
      </c>
      <c r="N10" s="5" t="s">
        <v>25</v>
      </c>
    </row>
    <row r="11" spans="1:14" x14ac:dyDescent="0.25">
      <c r="A11" s="5">
        <v>11.05</v>
      </c>
      <c r="B11" s="5">
        <v>2.5190000000000001</v>
      </c>
      <c r="C11" s="5">
        <f t="shared" si="0"/>
        <v>27.834950000000003</v>
      </c>
      <c r="D11" s="5">
        <v>4.16</v>
      </c>
      <c r="E11" s="5">
        <v>3.1</v>
      </c>
      <c r="F11" s="5">
        <f t="shared" si="1"/>
        <v>12.896000000000001</v>
      </c>
      <c r="G11" s="5">
        <v>4.33</v>
      </c>
      <c r="H11" s="5">
        <v>3.1030000000000002</v>
      </c>
      <c r="I11" s="5">
        <f t="shared" si="2"/>
        <v>13.43599</v>
      </c>
      <c r="J11" s="5">
        <f t="shared" si="3"/>
        <v>27.834950000000003</v>
      </c>
      <c r="K11" s="5">
        <f t="shared" si="4"/>
        <v>26.331990000000001</v>
      </c>
      <c r="L11" s="7">
        <f t="shared" si="5"/>
        <v>1.5029600000000016</v>
      </c>
      <c r="M11" s="4">
        <f t="shared" si="6"/>
        <v>0.94600457338705468</v>
      </c>
      <c r="N11" s="5" t="s">
        <v>26</v>
      </c>
    </row>
    <row r="12" spans="1:14" x14ac:dyDescent="0.25">
      <c r="A12" s="5">
        <v>11.26</v>
      </c>
      <c r="B12" s="5">
        <v>2.996</v>
      </c>
      <c r="C12" s="5">
        <f t="shared" si="0"/>
        <v>33.734960000000001</v>
      </c>
      <c r="D12" s="5">
        <v>4.24</v>
      </c>
      <c r="E12" s="5">
        <v>3.7090000000000001</v>
      </c>
      <c r="F12" s="5">
        <f t="shared" si="1"/>
        <v>15.726160000000002</v>
      </c>
      <c r="G12" s="5">
        <v>4.42</v>
      </c>
      <c r="H12" s="5">
        <v>3.7120000000000002</v>
      </c>
      <c r="I12" s="5">
        <f t="shared" si="2"/>
        <v>16.407040000000002</v>
      </c>
      <c r="J12" s="5">
        <f t="shared" si="3"/>
        <v>33.734960000000001</v>
      </c>
      <c r="K12" s="5">
        <f t="shared" si="4"/>
        <v>32.133200000000002</v>
      </c>
      <c r="L12" s="7">
        <f t="shared" si="5"/>
        <v>1.6017599999999987</v>
      </c>
      <c r="M12" s="4">
        <f t="shared" si="6"/>
        <v>0.95251928563128585</v>
      </c>
      <c r="N12" s="5" t="s">
        <v>9</v>
      </c>
    </row>
    <row r="13" spans="1:14" x14ac:dyDescent="0.25">
      <c r="A13" s="5">
        <v>11.35</v>
      </c>
      <c r="B13" s="5">
        <v>3.206</v>
      </c>
      <c r="C13" s="5">
        <f t="shared" si="0"/>
        <v>36.388100000000001</v>
      </c>
      <c r="D13" s="5">
        <v>4.24</v>
      </c>
      <c r="E13" s="5">
        <v>3.968</v>
      </c>
      <c r="F13" s="5">
        <f t="shared" si="1"/>
        <v>16.82432</v>
      </c>
      <c r="G13" s="5">
        <v>4.43</v>
      </c>
      <c r="H13" s="5">
        <v>3.972</v>
      </c>
      <c r="I13" s="5">
        <f t="shared" si="2"/>
        <v>17.595959999999998</v>
      </c>
      <c r="J13" s="5">
        <f t="shared" si="3"/>
        <v>36.388100000000001</v>
      </c>
      <c r="K13" s="5">
        <f t="shared" si="4"/>
        <v>34.420279999999998</v>
      </c>
      <c r="L13" s="7">
        <f t="shared" si="5"/>
        <v>1.9678200000000032</v>
      </c>
      <c r="M13" s="4">
        <f t="shared" si="6"/>
        <v>0.94592133142428425</v>
      </c>
      <c r="N13" s="5" t="s">
        <v>27</v>
      </c>
    </row>
  </sheetData>
  <mergeCells count="3">
    <mergeCell ref="A1:C1"/>
    <mergeCell ref="D1:F1"/>
    <mergeCell ref="G1:I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9D54-F913-47C2-B69A-515084901F1E}">
  <dimension ref="A1:M13"/>
  <sheetViews>
    <sheetView workbookViewId="0">
      <selection sqref="A1:M13"/>
    </sheetView>
  </sheetViews>
  <sheetFormatPr defaultRowHeight="15" x14ac:dyDescent="0.25"/>
  <cols>
    <col min="1" max="1" width="11" bestFit="1" customWidth="1"/>
    <col min="2" max="2" width="10.85546875" bestFit="1" customWidth="1"/>
    <col min="3" max="3" width="10.42578125" bestFit="1" customWidth="1"/>
    <col min="4" max="4" width="11" bestFit="1" customWidth="1"/>
    <col min="5" max="5" width="10.85546875" bestFit="1" customWidth="1"/>
    <col min="6" max="6" width="10.42578125" bestFit="1" customWidth="1"/>
    <col min="7" max="7" width="11" bestFit="1" customWidth="1"/>
    <col min="8" max="8" width="10.85546875" bestFit="1" customWidth="1"/>
    <col min="9" max="9" width="10.42578125" bestFit="1" customWidth="1"/>
    <col min="10" max="10" width="11.85546875" bestFit="1" customWidth="1"/>
    <col min="11" max="11" width="13.5703125" bestFit="1" customWidth="1"/>
    <col min="12" max="12" width="9.5703125" bestFit="1" customWidth="1"/>
    <col min="13" max="13" width="17.42578125" bestFit="1" customWidth="1"/>
  </cols>
  <sheetData>
    <row r="1" spans="1:13" x14ac:dyDescent="0.25">
      <c r="A1" s="11" t="s">
        <v>0</v>
      </c>
      <c r="B1" s="11"/>
      <c r="C1" s="11"/>
      <c r="D1" s="11" t="s">
        <v>14</v>
      </c>
      <c r="E1" s="11"/>
      <c r="F1" s="11"/>
      <c r="G1" s="11" t="s">
        <v>15</v>
      </c>
      <c r="H1" s="11"/>
      <c r="I1" s="11"/>
      <c r="J1" t="s">
        <v>1</v>
      </c>
      <c r="K1" t="s">
        <v>2</v>
      </c>
      <c r="L1" t="s">
        <v>3</v>
      </c>
      <c r="M1" t="s">
        <v>16</v>
      </c>
    </row>
    <row r="2" spans="1:13" x14ac:dyDescent="0.25">
      <c r="A2" t="s">
        <v>13</v>
      </c>
      <c r="B2" t="s">
        <v>11</v>
      </c>
      <c r="C2" t="s">
        <v>12</v>
      </c>
      <c r="D2" t="s">
        <v>13</v>
      </c>
      <c r="E2" t="s">
        <v>11</v>
      </c>
      <c r="F2" t="s">
        <v>12</v>
      </c>
      <c r="G2" t="s">
        <v>13</v>
      </c>
      <c r="H2" t="s">
        <v>11</v>
      </c>
      <c r="I2" t="s">
        <v>12</v>
      </c>
      <c r="J2" t="s">
        <v>12</v>
      </c>
      <c r="K2" t="s">
        <v>17</v>
      </c>
      <c r="L2" t="s">
        <v>18</v>
      </c>
    </row>
    <row r="3" spans="1:13" x14ac:dyDescent="0.25">
      <c r="A3" s="6">
        <v>9.98</v>
      </c>
      <c r="B3" s="6">
        <v>0.28499999999999998</v>
      </c>
      <c r="C3" s="6">
        <f>A3*B3</f>
        <v>2.8443000000000001</v>
      </c>
      <c r="D3" s="6">
        <v>4.0199999999999996</v>
      </c>
      <c r="E3" s="6">
        <v>0.32500000000000001</v>
      </c>
      <c r="F3" s="6">
        <f>D3*E3</f>
        <v>1.3065</v>
      </c>
      <c r="G3" s="6">
        <v>4.2</v>
      </c>
      <c r="H3" s="6">
        <v>0.32300000000000001</v>
      </c>
      <c r="I3" s="6">
        <f>G3*H3</f>
        <v>1.3566</v>
      </c>
      <c r="J3" s="6">
        <f>C3</f>
        <v>2.8443000000000001</v>
      </c>
      <c r="K3" s="6">
        <f>F3+I3</f>
        <v>2.6631</v>
      </c>
      <c r="L3" s="4">
        <f>K3/J3</f>
        <v>0.93629363991140169</v>
      </c>
      <c r="M3" s="6" t="s">
        <v>5</v>
      </c>
    </row>
    <row r="4" spans="1:13" x14ac:dyDescent="0.25">
      <c r="A4" s="6">
        <v>10.07</v>
      </c>
      <c r="B4" s="6">
        <v>0.46</v>
      </c>
      <c r="C4" s="6">
        <f t="shared" ref="C4:C13" si="0">A4*B4</f>
        <v>4.6322000000000001</v>
      </c>
      <c r="D4" s="6">
        <v>4.05</v>
      </c>
      <c r="E4" s="6">
        <v>0.54400000000000004</v>
      </c>
      <c r="F4" s="6">
        <f t="shared" ref="F4:F13" si="1">D4*E4</f>
        <v>2.2032000000000003</v>
      </c>
      <c r="G4" s="6">
        <v>4.2</v>
      </c>
      <c r="H4" s="6">
        <v>0.54200000000000004</v>
      </c>
      <c r="I4" s="6">
        <f t="shared" ref="I4:I13" si="2">G4*H4</f>
        <v>2.2764000000000002</v>
      </c>
      <c r="J4" s="6">
        <f t="shared" ref="J4:J13" si="3">C4</f>
        <v>4.6322000000000001</v>
      </c>
      <c r="K4" s="6">
        <f t="shared" ref="K4:K13" si="4">F4+I4</f>
        <v>4.4796000000000005</v>
      </c>
      <c r="L4" s="4">
        <f t="shared" ref="L4:L13" si="5">K4/J4</f>
        <v>0.96705669012564233</v>
      </c>
      <c r="M4" s="6" t="s">
        <v>22</v>
      </c>
    </row>
    <row r="5" spans="1:13" x14ac:dyDescent="0.25">
      <c r="A5" s="6">
        <v>10.119999999999999</v>
      </c>
      <c r="B5" s="6">
        <v>0.54900000000000004</v>
      </c>
      <c r="C5" s="6">
        <f t="shared" si="0"/>
        <v>5.5558800000000002</v>
      </c>
      <c r="D5" s="6">
        <v>4.07</v>
      </c>
      <c r="E5" s="6">
        <v>0.65500000000000003</v>
      </c>
      <c r="F5" s="6">
        <f t="shared" si="1"/>
        <v>2.6658500000000003</v>
      </c>
      <c r="G5" s="6">
        <v>4.22</v>
      </c>
      <c r="H5" s="6">
        <v>0.6542</v>
      </c>
      <c r="I5" s="6">
        <f t="shared" si="2"/>
        <v>2.7607239999999997</v>
      </c>
      <c r="J5" s="6">
        <f t="shared" si="3"/>
        <v>5.5558800000000002</v>
      </c>
      <c r="K5" s="6">
        <f t="shared" si="4"/>
        <v>5.4265740000000005</v>
      </c>
      <c r="L5" s="4">
        <f t="shared" si="5"/>
        <v>0.97672627918529564</v>
      </c>
      <c r="M5" s="6" t="s">
        <v>23</v>
      </c>
    </row>
    <row r="6" spans="1:13" x14ac:dyDescent="0.25">
      <c r="A6" s="6">
        <v>10.17</v>
      </c>
      <c r="B6" s="6">
        <v>0.65500000000000003</v>
      </c>
      <c r="C6" s="6">
        <f t="shared" si="0"/>
        <v>6.6613500000000005</v>
      </c>
      <c r="D6" s="6">
        <v>4.07</v>
      </c>
      <c r="E6" s="6">
        <v>0.78600000000000003</v>
      </c>
      <c r="F6" s="6">
        <f t="shared" si="1"/>
        <v>3.1990200000000004</v>
      </c>
      <c r="G6" s="6">
        <v>4.22</v>
      </c>
      <c r="H6" s="6">
        <v>0.78490000000000004</v>
      </c>
      <c r="I6" s="6">
        <f t="shared" si="2"/>
        <v>3.3122780000000001</v>
      </c>
      <c r="J6" s="6">
        <f t="shared" si="3"/>
        <v>6.6613500000000005</v>
      </c>
      <c r="K6" s="6">
        <f t="shared" si="4"/>
        <v>6.511298</v>
      </c>
      <c r="L6" s="4">
        <f t="shared" si="5"/>
        <v>0.97747423570297309</v>
      </c>
      <c r="M6" s="6" t="s">
        <v>7</v>
      </c>
    </row>
    <row r="7" spans="1:13" x14ac:dyDescent="0.25">
      <c r="A7" s="6">
        <v>10.23</v>
      </c>
      <c r="B7" s="6">
        <v>0.76259999999999994</v>
      </c>
      <c r="C7" s="6">
        <f t="shared" si="0"/>
        <v>7.8013979999999998</v>
      </c>
      <c r="D7" s="6">
        <v>4.07</v>
      </c>
      <c r="E7" s="6">
        <v>0.92010000000000003</v>
      </c>
      <c r="F7" s="6">
        <f t="shared" si="1"/>
        <v>3.7448070000000002</v>
      </c>
      <c r="G7" s="6">
        <v>4.22</v>
      </c>
      <c r="H7" s="6">
        <v>0.91900000000000004</v>
      </c>
      <c r="I7" s="6">
        <f t="shared" si="2"/>
        <v>3.87818</v>
      </c>
      <c r="J7" s="6">
        <f t="shared" si="3"/>
        <v>7.8013979999999998</v>
      </c>
      <c r="K7" s="6">
        <f t="shared" si="4"/>
        <v>7.6229870000000002</v>
      </c>
      <c r="L7" s="4">
        <f t="shared" si="5"/>
        <v>0.97713089371930517</v>
      </c>
      <c r="M7" s="6" t="s">
        <v>8</v>
      </c>
    </row>
    <row r="8" spans="1:13" x14ac:dyDescent="0.25">
      <c r="A8" s="6">
        <v>10.35</v>
      </c>
      <c r="B8" s="6">
        <v>0.999</v>
      </c>
      <c r="C8" s="6">
        <f t="shared" si="0"/>
        <v>10.339649999999999</v>
      </c>
      <c r="D8" s="6">
        <v>4.07</v>
      </c>
      <c r="E8" s="6">
        <v>1.2050000000000001</v>
      </c>
      <c r="F8" s="6">
        <f t="shared" si="1"/>
        <v>4.9043500000000009</v>
      </c>
      <c r="G8" s="6">
        <v>4.24</v>
      </c>
      <c r="H8" s="6">
        <v>1.206</v>
      </c>
      <c r="I8" s="6">
        <f t="shared" si="2"/>
        <v>5.1134399999999998</v>
      </c>
      <c r="J8" s="6">
        <f t="shared" si="3"/>
        <v>10.339649999999999</v>
      </c>
      <c r="K8" s="6">
        <f t="shared" si="4"/>
        <v>10.017790000000002</v>
      </c>
      <c r="L8" s="4">
        <f t="shared" si="5"/>
        <v>0.96887128674568312</v>
      </c>
      <c r="M8" s="6" t="s">
        <v>9</v>
      </c>
    </row>
    <row r="9" spans="1:13" x14ac:dyDescent="0.25">
      <c r="A9" s="6">
        <v>10.51</v>
      </c>
      <c r="B9" s="6">
        <v>1.3260000000000001</v>
      </c>
      <c r="C9" s="6">
        <f t="shared" si="0"/>
        <v>13.936260000000001</v>
      </c>
      <c r="D9" s="6">
        <v>4.0999999999999996</v>
      </c>
      <c r="E9" s="6">
        <v>1.62</v>
      </c>
      <c r="F9" s="6">
        <f t="shared" si="1"/>
        <v>6.6419999999999995</v>
      </c>
      <c r="G9" s="6">
        <v>4.25</v>
      </c>
      <c r="H9" s="6">
        <v>1.621</v>
      </c>
      <c r="I9" s="6">
        <f t="shared" si="2"/>
        <v>6.8892499999999997</v>
      </c>
      <c r="J9" s="6">
        <f t="shared" si="3"/>
        <v>13.936260000000001</v>
      </c>
      <c r="K9" s="6">
        <f t="shared" si="4"/>
        <v>13.53125</v>
      </c>
      <c r="L9" s="4">
        <f t="shared" si="5"/>
        <v>0.97093840097701956</v>
      </c>
      <c r="M9" s="6" t="s">
        <v>24</v>
      </c>
    </row>
    <row r="10" spans="1:13" x14ac:dyDescent="0.25">
      <c r="A10" s="6">
        <v>10.83</v>
      </c>
      <c r="B10" s="6">
        <v>2.004</v>
      </c>
      <c r="C10" s="6">
        <f t="shared" si="0"/>
        <v>21.703320000000001</v>
      </c>
      <c r="D10" s="6">
        <v>4.1500000000000004</v>
      </c>
      <c r="E10" s="6">
        <v>2.476</v>
      </c>
      <c r="F10" s="6">
        <f t="shared" si="1"/>
        <v>10.275400000000001</v>
      </c>
      <c r="G10" s="6">
        <v>4.3</v>
      </c>
      <c r="H10" s="6">
        <v>2.4780000000000002</v>
      </c>
      <c r="I10" s="6">
        <f t="shared" si="2"/>
        <v>10.6554</v>
      </c>
      <c r="J10" s="6">
        <f t="shared" si="3"/>
        <v>21.703320000000001</v>
      </c>
      <c r="K10" s="6">
        <f t="shared" si="4"/>
        <v>20.930800000000001</v>
      </c>
      <c r="L10" s="4">
        <f t="shared" si="5"/>
        <v>0.964405445802762</v>
      </c>
      <c r="M10" s="6" t="s">
        <v>25</v>
      </c>
    </row>
    <row r="11" spans="1:13" x14ac:dyDescent="0.25">
      <c r="A11" s="6">
        <v>11.05</v>
      </c>
      <c r="B11" s="6">
        <v>2.5190000000000001</v>
      </c>
      <c r="C11" s="6">
        <f t="shared" si="0"/>
        <v>27.834950000000003</v>
      </c>
      <c r="D11" s="6">
        <v>4.16</v>
      </c>
      <c r="E11" s="6">
        <v>3.1</v>
      </c>
      <c r="F11" s="6">
        <f t="shared" si="1"/>
        <v>12.896000000000001</v>
      </c>
      <c r="G11" s="6">
        <v>4.33</v>
      </c>
      <c r="H11" s="6">
        <v>3.1030000000000002</v>
      </c>
      <c r="I11" s="6">
        <f t="shared" si="2"/>
        <v>13.43599</v>
      </c>
      <c r="J11" s="6">
        <f t="shared" si="3"/>
        <v>27.834950000000003</v>
      </c>
      <c r="K11" s="6">
        <f t="shared" si="4"/>
        <v>26.331990000000001</v>
      </c>
      <c r="L11" s="4">
        <f t="shared" si="5"/>
        <v>0.94600457338705468</v>
      </c>
      <c r="M11" s="6" t="s">
        <v>26</v>
      </c>
    </row>
    <row r="12" spans="1:13" x14ac:dyDescent="0.25">
      <c r="A12" s="6">
        <v>11.26</v>
      </c>
      <c r="B12" s="6">
        <v>2.996</v>
      </c>
      <c r="C12" s="6">
        <f t="shared" si="0"/>
        <v>33.734960000000001</v>
      </c>
      <c r="D12" s="6">
        <v>4.24</v>
      </c>
      <c r="E12" s="6">
        <v>3.7090000000000001</v>
      </c>
      <c r="F12" s="6">
        <f t="shared" si="1"/>
        <v>15.726160000000002</v>
      </c>
      <c r="G12" s="6">
        <v>4.42</v>
      </c>
      <c r="H12" s="6">
        <v>3.7120000000000002</v>
      </c>
      <c r="I12" s="6">
        <f t="shared" si="2"/>
        <v>16.407040000000002</v>
      </c>
      <c r="J12" s="6">
        <f t="shared" si="3"/>
        <v>33.734960000000001</v>
      </c>
      <c r="K12" s="6">
        <f t="shared" si="4"/>
        <v>32.133200000000002</v>
      </c>
      <c r="L12" s="4">
        <f t="shared" si="5"/>
        <v>0.95251928563128585</v>
      </c>
      <c r="M12" s="6" t="s">
        <v>9</v>
      </c>
    </row>
    <row r="13" spans="1:13" x14ac:dyDescent="0.25">
      <c r="A13" s="6">
        <v>11.35</v>
      </c>
      <c r="B13" s="6">
        <v>3.206</v>
      </c>
      <c r="C13" s="6">
        <f t="shared" si="0"/>
        <v>36.388100000000001</v>
      </c>
      <c r="D13" s="6">
        <v>4.24</v>
      </c>
      <c r="E13" s="6">
        <v>3.968</v>
      </c>
      <c r="F13" s="6">
        <f t="shared" si="1"/>
        <v>16.82432</v>
      </c>
      <c r="G13" s="6">
        <v>4.43</v>
      </c>
      <c r="H13" s="6">
        <v>3.972</v>
      </c>
      <c r="I13" s="6">
        <f t="shared" si="2"/>
        <v>17.595959999999998</v>
      </c>
      <c r="J13" s="6">
        <f t="shared" si="3"/>
        <v>36.388100000000001</v>
      </c>
      <c r="K13" s="6">
        <f t="shared" si="4"/>
        <v>34.420279999999998</v>
      </c>
      <c r="L13" s="4">
        <f t="shared" si="5"/>
        <v>0.94592133142428425</v>
      </c>
      <c r="M13" s="6" t="s">
        <v>27</v>
      </c>
    </row>
  </sheetData>
  <mergeCells count="3">
    <mergeCell ref="A1:C1"/>
    <mergeCell ref="D1:F1"/>
    <mergeCell ref="G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49F9-C649-4C85-84C3-48E2F5D7C119}">
  <dimension ref="A1:B2"/>
  <sheetViews>
    <sheetView workbookViewId="0">
      <selection sqref="A1:B2"/>
    </sheetView>
  </sheetViews>
  <sheetFormatPr defaultRowHeight="15" x14ac:dyDescent="0.25"/>
  <sheetData>
    <row r="1" spans="1:2" x14ac:dyDescent="0.25">
      <c r="A1" t="s">
        <v>28</v>
      </c>
      <c r="B1" t="s">
        <v>29</v>
      </c>
    </row>
    <row r="2" spans="1:2" x14ac:dyDescent="0.25">
      <c r="A2" t="s">
        <v>30</v>
      </c>
      <c r="B2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BADD-3559-4C84-9F4A-75529F60CC45}">
  <dimension ref="A1:M34"/>
  <sheetViews>
    <sheetView tabSelected="1" topLeftCell="A4" workbookViewId="0">
      <selection activeCell="M31" sqref="M31"/>
    </sheetView>
  </sheetViews>
  <sheetFormatPr defaultRowHeight="15" x14ac:dyDescent="0.25"/>
  <cols>
    <col min="1" max="1" width="11" bestFit="1" customWidth="1"/>
    <col min="2" max="2" width="10.85546875" bestFit="1" customWidth="1"/>
    <col min="3" max="3" width="10.42578125" bestFit="1" customWidth="1"/>
    <col min="4" max="4" width="11" bestFit="1" customWidth="1"/>
    <col min="5" max="5" width="10.85546875" bestFit="1" customWidth="1"/>
    <col min="6" max="6" width="10.42578125" bestFit="1" customWidth="1"/>
    <col min="7" max="7" width="11" bestFit="1" customWidth="1"/>
    <col min="8" max="8" width="10.85546875" bestFit="1" customWidth="1"/>
    <col min="9" max="9" width="10.42578125" bestFit="1" customWidth="1"/>
    <col min="10" max="10" width="11.85546875" bestFit="1" customWidth="1"/>
    <col min="11" max="11" width="13.5703125" bestFit="1" customWidth="1"/>
    <col min="12" max="12" width="9.5703125" bestFit="1" customWidth="1"/>
    <col min="13" max="13" width="17.42578125" bestFit="1" customWidth="1"/>
  </cols>
  <sheetData>
    <row r="1" spans="1:13" x14ac:dyDescent="0.25">
      <c r="A1" s="11" t="s">
        <v>0</v>
      </c>
      <c r="B1" s="11"/>
      <c r="C1" s="11"/>
      <c r="D1" s="11" t="s">
        <v>14</v>
      </c>
      <c r="E1" s="11"/>
      <c r="F1" s="11"/>
      <c r="G1" s="11" t="s">
        <v>15</v>
      </c>
      <c r="H1" s="11"/>
      <c r="I1" s="11"/>
      <c r="J1" t="s">
        <v>1</v>
      </c>
      <c r="K1" t="s">
        <v>2</v>
      </c>
      <c r="L1" t="s">
        <v>3</v>
      </c>
      <c r="M1" t="s">
        <v>16</v>
      </c>
    </row>
    <row r="2" spans="1:13" x14ac:dyDescent="0.25">
      <c r="A2" t="s">
        <v>13</v>
      </c>
      <c r="B2" t="s">
        <v>11</v>
      </c>
      <c r="C2" t="s">
        <v>12</v>
      </c>
      <c r="D2" t="s">
        <v>13</v>
      </c>
      <c r="E2" t="s">
        <v>11</v>
      </c>
      <c r="F2" t="s">
        <v>12</v>
      </c>
      <c r="G2" t="s">
        <v>13</v>
      </c>
      <c r="H2" t="s">
        <v>11</v>
      </c>
      <c r="I2" t="s">
        <v>12</v>
      </c>
      <c r="J2" t="s">
        <v>12</v>
      </c>
      <c r="K2" t="s">
        <v>17</v>
      </c>
      <c r="L2" t="s">
        <v>18</v>
      </c>
    </row>
    <row r="3" spans="1:13" x14ac:dyDescent="0.25">
      <c r="A3" s="8">
        <v>9.98</v>
      </c>
      <c r="B3" s="8">
        <v>0.28499999999999998</v>
      </c>
      <c r="C3" s="8">
        <f>A3*B3</f>
        <v>2.8443000000000001</v>
      </c>
      <c r="D3" s="8">
        <v>4.0199999999999996</v>
      </c>
      <c r="E3" s="8">
        <v>0.32500000000000001</v>
      </c>
      <c r="F3" s="8">
        <f>D3*E3</f>
        <v>1.3065</v>
      </c>
      <c r="G3" s="8">
        <v>4.2</v>
      </c>
      <c r="H3" s="8">
        <v>0.32300000000000001</v>
      </c>
      <c r="I3" s="8">
        <f>G3*H3</f>
        <v>1.3566</v>
      </c>
      <c r="J3" s="8">
        <f>C3</f>
        <v>2.8443000000000001</v>
      </c>
      <c r="K3" s="8">
        <f>F3+I3</f>
        <v>2.6631</v>
      </c>
      <c r="L3" s="4">
        <f>K3/J3</f>
        <v>0.93629363991140169</v>
      </c>
      <c r="M3" s="8" t="s">
        <v>5</v>
      </c>
    </row>
    <row r="4" spans="1:13" x14ac:dyDescent="0.25">
      <c r="A4" s="8">
        <v>10.07</v>
      </c>
      <c r="B4" s="8">
        <v>0.46</v>
      </c>
      <c r="C4" s="8">
        <f t="shared" ref="C4:C17" si="0">A4*B4</f>
        <v>4.6322000000000001</v>
      </c>
      <c r="D4" s="8">
        <v>4.05</v>
      </c>
      <c r="E4" s="8">
        <v>0.54400000000000004</v>
      </c>
      <c r="F4" s="8">
        <f t="shared" ref="F4:F17" si="1">D4*E4</f>
        <v>2.2032000000000003</v>
      </c>
      <c r="G4" s="8">
        <v>4.2</v>
      </c>
      <c r="H4" s="8">
        <v>0.54200000000000004</v>
      </c>
      <c r="I4" s="8">
        <f t="shared" ref="I4:I17" si="2">G4*H4</f>
        <v>2.2764000000000002</v>
      </c>
      <c r="J4" s="8">
        <f t="shared" ref="J4:J17" si="3">C4</f>
        <v>4.6322000000000001</v>
      </c>
      <c r="K4" s="8">
        <f t="shared" ref="K4:K17" si="4">F4+I4</f>
        <v>4.4796000000000005</v>
      </c>
      <c r="L4" s="4">
        <f t="shared" ref="L4:L17" si="5">K4/J4</f>
        <v>0.96705669012564233</v>
      </c>
      <c r="M4" s="8" t="s">
        <v>22</v>
      </c>
    </row>
    <row r="5" spans="1:13" x14ac:dyDescent="0.25">
      <c r="A5" s="8">
        <v>10.119999999999999</v>
      </c>
      <c r="B5" s="8">
        <v>0.54900000000000004</v>
      </c>
      <c r="C5" s="8">
        <f t="shared" si="0"/>
        <v>5.5558800000000002</v>
      </c>
      <c r="D5" s="8">
        <v>4.07</v>
      </c>
      <c r="E5" s="8">
        <v>0.65500000000000003</v>
      </c>
      <c r="F5" s="8">
        <f t="shared" si="1"/>
        <v>2.6658500000000003</v>
      </c>
      <c r="G5" s="8">
        <v>4.22</v>
      </c>
      <c r="H5" s="8">
        <v>0.6542</v>
      </c>
      <c r="I5" s="8">
        <f t="shared" si="2"/>
        <v>2.7607239999999997</v>
      </c>
      <c r="J5" s="8">
        <f t="shared" si="3"/>
        <v>5.5558800000000002</v>
      </c>
      <c r="K5" s="8">
        <f t="shared" si="4"/>
        <v>5.4265740000000005</v>
      </c>
      <c r="L5" s="4">
        <f t="shared" si="5"/>
        <v>0.97672627918529564</v>
      </c>
      <c r="M5" s="8" t="s">
        <v>23</v>
      </c>
    </row>
    <row r="6" spans="1:13" x14ac:dyDescent="0.25">
      <c r="A6" s="8">
        <v>10.17</v>
      </c>
      <c r="B6" s="8">
        <v>0.65500000000000003</v>
      </c>
      <c r="C6" s="8">
        <f t="shared" si="0"/>
        <v>6.6613500000000005</v>
      </c>
      <c r="D6" s="8">
        <v>4.07</v>
      </c>
      <c r="E6" s="8">
        <v>0.78600000000000003</v>
      </c>
      <c r="F6" s="8">
        <f t="shared" si="1"/>
        <v>3.1990200000000004</v>
      </c>
      <c r="G6" s="8">
        <v>4.22</v>
      </c>
      <c r="H6" s="8">
        <v>0.78490000000000004</v>
      </c>
      <c r="I6" s="8">
        <f t="shared" si="2"/>
        <v>3.3122780000000001</v>
      </c>
      <c r="J6" s="8">
        <f t="shared" si="3"/>
        <v>6.6613500000000005</v>
      </c>
      <c r="K6" s="8">
        <f t="shared" si="4"/>
        <v>6.511298</v>
      </c>
      <c r="L6" s="4">
        <f t="shared" si="5"/>
        <v>0.97747423570297309</v>
      </c>
      <c r="M6" s="8" t="s">
        <v>7</v>
      </c>
    </row>
    <row r="7" spans="1:13" x14ac:dyDescent="0.25">
      <c r="A7" s="8">
        <v>10.23</v>
      </c>
      <c r="B7" s="8">
        <v>0.76259999999999994</v>
      </c>
      <c r="C7" s="8">
        <f t="shared" si="0"/>
        <v>7.8013979999999998</v>
      </c>
      <c r="D7" s="8">
        <v>4.07</v>
      </c>
      <c r="E7" s="8">
        <v>0.92010000000000003</v>
      </c>
      <c r="F7" s="8">
        <f t="shared" si="1"/>
        <v>3.7448070000000002</v>
      </c>
      <c r="G7" s="8">
        <v>4.22</v>
      </c>
      <c r="H7" s="8">
        <v>0.91900000000000004</v>
      </c>
      <c r="I7" s="8">
        <f t="shared" si="2"/>
        <v>3.87818</v>
      </c>
      <c r="J7" s="8">
        <f t="shared" si="3"/>
        <v>7.8013979999999998</v>
      </c>
      <c r="K7" s="8">
        <f t="shared" si="4"/>
        <v>7.6229870000000002</v>
      </c>
      <c r="L7" s="4">
        <f t="shared" si="5"/>
        <v>0.97713089371930517</v>
      </c>
      <c r="M7" s="8" t="s">
        <v>8</v>
      </c>
    </row>
    <row r="8" spans="1:13" x14ac:dyDescent="0.25">
      <c r="A8" s="8">
        <v>10.35</v>
      </c>
      <c r="B8" s="8">
        <v>0.999</v>
      </c>
      <c r="C8" s="8">
        <f t="shared" si="0"/>
        <v>10.339649999999999</v>
      </c>
      <c r="D8" s="8">
        <v>4.07</v>
      </c>
      <c r="E8" s="8">
        <v>1.2050000000000001</v>
      </c>
      <c r="F8" s="8">
        <f t="shared" si="1"/>
        <v>4.9043500000000009</v>
      </c>
      <c r="G8" s="8">
        <v>4.24</v>
      </c>
      <c r="H8" s="8">
        <v>1.206</v>
      </c>
      <c r="I8" s="8">
        <f t="shared" si="2"/>
        <v>5.1134399999999998</v>
      </c>
      <c r="J8" s="8">
        <f t="shared" si="3"/>
        <v>10.339649999999999</v>
      </c>
      <c r="K8" s="8">
        <f t="shared" si="4"/>
        <v>10.017790000000002</v>
      </c>
      <c r="L8" s="4">
        <f t="shared" si="5"/>
        <v>0.96887128674568312</v>
      </c>
      <c r="M8" s="8" t="s">
        <v>9</v>
      </c>
    </row>
    <row r="9" spans="1:13" x14ac:dyDescent="0.25">
      <c r="A9" s="8">
        <v>10.51</v>
      </c>
      <c r="B9" s="8">
        <v>1.3260000000000001</v>
      </c>
      <c r="C9" s="8">
        <f t="shared" si="0"/>
        <v>13.936260000000001</v>
      </c>
      <c r="D9" s="8">
        <v>4.0999999999999996</v>
      </c>
      <c r="E9" s="8">
        <v>1.62</v>
      </c>
      <c r="F9" s="8">
        <f t="shared" si="1"/>
        <v>6.6419999999999995</v>
      </c>
      <c r="G9" s="8">
        <v>4.25</v>
      </c>
      <c r="H9" s="8">
        <v>1.621</v>
      </c>
      <c r="I9" s="8">
        <f t="shared" si="2"/>
        <v>6.8892499999999997</v>
      </c>
      <c r="J9" s="8">
        <f t="shared" si="3"/>
        <v>13.936260000000001</v>
      </c>
      <c r="K9" s="8">
        <f t="shared" si="4"/>
        <v>13.53125</v>
      </c>
      <c r="L9" s="4">
        <f t="shared" si="5"/>
        <v>0.97093840097701956</v>
      </c>
      <c r="M9" s="8" t="s">
        <v>24</v>
      </c>
    </row>
    <row r="10" spans="1:13" x14ac:dyDescent="0.25">
      <c r="A10" s="8">
        <v>10.83</v>
      </c>
      <c r="B10" s="8">
        <v>2.004</v>
      </c>
      <c r="C10" s="8">
        <f t="shared" si="0"/>
        <v>21.703320000000001</v>
      </c>
      <c r="D10" s="8">
        <v>4.1500000000000004</v>
      </c>
      <c r="E10" s="8">
        <v>2.476</v>
      </c>
      <c r="F10" s="8">
        <f t="shared" si="1"/>
        <v>10.275400000000001</v>
      </c>
      <c r="G10" s="8">
        <v>4.3</v>
      </c>
      <c r="H10" s="8">
        <v>2.4780000000000002</v>
      </c>
      <c r="I10" s="8">
        <f t="shared" si="2"/>
        <v>10.6554</v>
      </c>
      <c r="J10" s="8">
        <f t="shared" si="3"/>
        <v>21.703320000000001</v>
      </c>
      <c r="K10" s="8">
        <f t="shared" si="4"/>
        <v>20.930800000000001</v>
      </c>
      <c r="L10" s="4">
        <f t="shared" si="5"/>
        <v>0.964405445802762</v>
      </c>
      <c r="M10" s="8" t="s">
        <v>25</v>
      </c>
    </row>
    <row r="11" spans="1:13" x14ac:dyDescent="0.25">
      <c r="A11" s="8">
        <v>11.05</v>
      </c>
      <c r="B11" s="8">
        <v>2.5190000000000001</v>
      </c>
      <c r="C11" s="8">
        <f t="shared" si="0"/>
        <v>27.834950000000003</v>
      </c>
      <c r="D11" s="8">
        <v>4.16</v>
      </c>
      <c r="E11" s="8">
        <v>3.1</v>
      </c>
      <c r="F11" s="8">
        <f t="shared" si="1"/>
        <v>12.896000000000001</v>
      </c>
      <c r="G11" s="8">
        <v>4.33</v>
      </c>
      <c r="H11" s="8">
        <v>3.1030000000000002</v>
      </c>
      <c r="I11" s="8">
        <f t="shared" si="2"/>
        <v>13.43599</v>
      </c>
      <c r="J11" s="8">
        <f t="shared" si="3"/>
        <v>27.834950000000003</v>
      </c>
      <c r="K11" s="8">
        <f t="shared" si="4"/>
        <v>26.331990000000001</v>
      </c>
      <c r="L11" s="4">
        <f t="shared" si="5"/>
        <v>0.94600457338705468</v>
      </c>
      <c r="M11" s="8" t="s">
        <v>26</v>
      </c>
    </row>
    <row r="12" spans="1:13" x14ac:dyDescent="0.25">
      <c r="A12" s="8">
        <v>11.26</v>
      </c>
      <c r="B12" s="8">
        <v>2.996</v>
      </c>
      <c r="C12" s="8">
        <f t="shared" si="0"/>
        <v>33.734960000000001</v>
      </c>
      <c r="D12" s="8">
        <v>4.24</v>
      </c>
      <c r="E12" s="8">
        <v>3.7090000000000001</v>
      </c>
      <c r="F12" s="8">
        <f t="shared" si="1"/>
        <v>15.726160000000002</v>
      </c>
      <c r="G12" s="8">
        <v>4.42</v>
      </c>
      <c r="H12" s="8">
        <v>3.7120000000000002</v>
      </c>
      <c r="I12" s="8">
        <f t="shared" si="2"/>
        <v>16.407040000000002</v>
      </c>
      <c r="J12" s="8">
        <f t="shared" si="3"/>
        <v>33.734960000000001</v>
      </c>
      <c r="K12" s="8">
        <f t="shared" si="4"/>
        <v>32.133200000000002</v>
      </c>
      <c r="L12" s="4">
        <f t="shared" si="5"/>
        <v>0.95251928563128585</v>
      </c>
      <c r="M12" s="8" t="s">
        <v>9</v>
      </c>
    </row>
    <row r="13" spans="1:13" x14ac:dyDescent="0.25">
      <c r="A13" s="8">
        <v>11.35</v>
      </c>
      <c r="B13" s="8">
        <v>3.206</v>
      </c>
      <c r="C13" s="8">
        <f t="shared" si="0"/>
        <v>36.388100000000001</v>
      </c>
      <c r="D13" s="8">
        <v>4.24</v>
      </c>
      <c r="E13" s="8">
        <v>3.968</v>
      </c>
      <c r="F13" s="8">
        <f t="shared" si="1"/>
        <v>16.82432</v>
      </c>
      <c r="G13" s="8">
        <v>4.43</v>
      </c>
      <c r="H13" s="8">
        <v>3.972</v>
      </c>
      <c r="I13" s="8">
        <f t="shared" si="2"/>
        <v>17.595959999999998</v>
      </c>
      <c r="J13" s="8">
        <f t="shared" si="3"/>
        <v>36.388100000000001</v>
      </c>
      <c r="K13" s="8">
        <f t="shared" si="4"/>
        <v>34.420279999999998</v>
      </c>
      <c r="L13" s="4">
        <f t="shared" si="5"/>
        <v>0.94592133142428425</v>
      </c>
      <c r="M13" s="8" t="s">
        <v>27</v>
      </c>
    </row>
    <row r="14" spans="1:13" x14ac:dyDescent="0.25">
      <c r="A14" s="8">
        <v>10.24</v>
      </c>
      <c r="B14" s="8">
        <v>0.96299999999999997</v>
      </c>
      <c r="C14" s="8">
        <f t="shared" si="0"/>
        <v>9.8611199999999997</v>
      </c>
      <c r="D14" s="8">
        <v>4.05</v>
      </c>
      <c r="E14" s="8">
        <v>1.0609999999999999</v>
      </c>
      <c r="F14" s="8">
        <f t="shared" si="1"/>
        <v>4.2970499999999996</v>
      </c>
      <c r="G14" s="8">
        <v>4.0599999999999996</v>
      </c>
      <c r="H14" s="8">
        <v>1.032</v>
      </c>
      <c r="I14" s="8">
        <f t="shared" si="2"/>
        <v>4.1899199999999999</v>
      </c>
      <c r="J14" s="8">
        <f t="shared" si="3"/>
        <v>9.8611199999999997</v>
      </c>
      <c r="K14" s="8">
        <f t="shared" si="4"/>
        <v>8.4869699999999995</v>
      </c>
      <c r="L14" s="4">
        <f t="shared" si="5"/>
        <v>0.86064970307632394</v>
      </c>
    </row>
    <row r="15" spans="1:13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</row>
    <row r="16" spans="1:13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</row>
    <row r="17" spans="1:13" x14ac:dyDescent="0.25">
      <c r="A17" s="9">
        <v>10.35</v>
      </c>
      <c r="B17" s="9">
        <v>0.79</v>
      </c>
      <c r="C17" s="9">
        <f t="shared" si="0"/>
        <v>8.1765000000000008</v>
      </c>
      <c r="D17" s="9">
        <v>4.05</v>
      </c>
      <c r="E17" s="9">
        <v>0.96</v>
      </c>
      <c r="F17" s="9">
        <f t="shared" si="1"/>
        <v>3.8879999999999999</v>
      </c>
      <c r="G17" s="9">
        <v>4.0599999999999996</v>
      </c>
      <c r="H17" s="9">
        <v>0.96</v>
      </c>
      <c r="I17" s="9">
        <f t="shared" si="2"/>
        <v>3.8975999999999993</v>
      </c>
      <c r="J17" s="9">
        <f t="shared" si="3"/>
        <v>8.1765000000000008</v>
      </c>
      <c r="K17" s="9">
        <f t="shared" si="4"/>
        <v>7.7855999999999987</v>
      </c>
      <c r="L17" s="4">
        <f t="shared" si="5"/>
        <v>0.95219225830122889</v>
      </c>
      <c r="M17">
        <v>7.5</v>
      </c>
    </row>
    <row r="18" spans="1:13" x14ac:dyDescent="0.25">
      <c r="A18" s="9">
        <v>10.73</v>
      </c>
      <c r="B18" s="9">
        <v>1.6</v>
      </c>
      <c r="C18" s="9">
        <f t="shared" ref="C18:C34" si="6">A18*B18</f>
        <v>17.168000000000003</v>
      </c>
      <c r="D18" s="9">
        <v>4.0999999999999996</v>
      </c>
      <c r="E18" s="9">
        <v>1.9750000000000001</v>
      </c>
      <c r="F18" s="9">
        <f t="shared" ref="F18:F34" si="7">D18*E18</f>
        <v>8.0975000000000001</v>
      </c>
      <c r="G18" s="9">
        <v>4.1100000000000003</v>
      </c>
      <c r="H18" s="9">
        <v>1.972</v>
      </c>
      <c r="I18" s="9">
        <f t="shared" ref="I18:I33" si="8">G18*H18</f>
        <v>8.1049199999999999</v>
      </c>
      <c r="J18" s="9">
        <f t="shared" ref="J18:J34" si="9">C18</f>
        <v>17.168000000000003</v>
      </c>
      <c r="K18" s="9">
        <f t="shared" ref="K18:K33" si="10">F18+I18</f>
        <v>16.20242</v>
      </c>
      <c r="L18" s="4">
        <f t="shared" ref="L18:L34" si="11">K18/J18</f>
        <v>0.94375698974836886</v>
      </c>
      <c r="M18">
        <v>7.5</v>
      </c>
    </row>
    <row r="19" spans="1:13" x14ac:dyDescent="0.25">
      <c r="A19" s="9">
        <v>11.13</v>
      </c>
      <c r="B19" s="9">
        <v>2.5</v>
      </c>
      <c r="C19" s="9">
        <f t="shared" si="6"/>
        <v>27.825000000000003</v>
      </c>
      <c r="D19" s="9">
        <v>4.1399999999999997</v>
      </c>
      <c r="E19" s="9">
        <v>3.11</v>
      </c>
      <c r="F19" s="9">
        <f t="shared" si="7"/>
        <v>12.875399999999999</v>
      </c>
      <c r="G19" s="9">
        <v>4.17</v>
      </c>
      <c r="H19" s="9">
        <v>3.17</v>
      </c>
      <c r="I19" s="9">
        <f t="shared" si="8"/>
        <v>13.2189</v>
      </c>
      <c r="J19" s="9">
        <f t="shared" si="9"/>
        <v>27.825000000000003</v>
      </c>
      <c r="K19" s="9">
        <f t="shared" si="10"/>
        <v>26.094299999999997</v>
      </c>
      <c r="L19" s="4">
        <f t="shared" si="11"/>
        <v>0.93780053908355776</v>
      </c>
      <c r="M19">
        <v>7.5</v>
      </c>
    </row>
    <row r="20" spans="1:13" x14ac:dyDescent="0.25">
      <c r="A20" s="9"/>
      <c r="B20" s="9"/>
      <c r="C20" s="9">
        <f t="shared" si="6"/>
        <v>0</v>
      </c>
      <c r="D20" s="9"/>
      <c r="E20" s="9"/>
      <c r="F20" s="9">
        <f t="shared" si="7"/>
        <v>0</v>
      </c>
      <c r="G20" s="9"/>
      <c r="H20" s="9"/>
      <c r="I20" s="9">
        <f t="shared" si="8"/>
        <v>0</v>
      </c>
      <c r="J20" s="9">
        <f t="shared" si="9"/>
        <v>0</v>
      </c>
      <c r="K20" s="9">
        <f t="shared" si="10"/>
        <v>0</v>
      </c>
      <c r="L20" s="4" t="e">
        <f t="shared" si="11"/>
        <v>#DIV/0!</v>
      </c>
    </row>
    <row r="21" spans="1:13" x14ac:dyDescent="0.25">
      <c r="A21" s="9">
        <v>10.34</v>
      </c>
      <c r="B21" s="9">
        <v>0.82399999999999995</v>
      </c>
      <c r="C21" s="9">
        <f t="shared" si="6"/>
        <v>8.5201599999999988</v>
      </c>
      <c r="D21" s="9">
        <v>4.05</v>
      </c>
      <c r="E21" s="9">
        <v>0.998</v>
      </c>
      <c r="F21" s="9">
        <f t="shared" si="7"/>
        <v>4.0419</v>
      </c>
      <c r="G21" s="9">
        <v>4.0599999999999996</v>
      </c>
      <c r="H21" s="9">
        <v>0.995</v>
      </c>
      <c r="I21" s="9">
        <f t="shared" si="8"/>
        <v>4.0396999999999998</v>
      </c>
      <c r="J21" s="9">
        <f t="shared" si="9"/>
        <v>8.5201599999999988</v>
      </c>
      <c r="K21" s="9">
        <f t="shared" si="10"/>
        <v>8.0815999999999999</v>
      </c>
      <c r="L21" s="4">
        <f t="shared" si="11"/>
        <v>0.94852678822932912</v>
      </c>
      <c r="M21">
        <v>3.75</v>
      </c>
    </row>
    <row r="22" spans="1:13" x14ac:dyDescent="0.25">
      <c r="A22" s="9">
        <v>10.68</v>
      </c>
      <c r="B22" s="9">
        <v>1.63</v>
      </c>
      <c r="C22" s="9">
        <f t="shared" si="6"/>
        <v>17.408399999999997</v>
      </c>
      <c r="D22" s="9">
        <v>4.0949999999999998</v>
      </c>
      <c r="E22" s="9">
        <v>2.004</v>
      </c>
      <c r="F22" s="9">
        <f t="shared" si="7"/>
        <v>8.2063799999999993</v>
      </c>
      <c r="G22" s="9">
        <v>4.1139999999999999</v>
      </c>
      <c r="H22" s="9">
        <v>2.004</v>
      </c>
      <c r="I22" s="9">
        <f t="shared" si="8"/>
        <v>8.2444559999999996</v>
      </c>
      <c r="J22" s="9">
        <f t="shared" si="9"/>
        <v>17.408399999999997</v>
      </c>
      <c r="K22" s="9">
        <f t="shared" si="10"/>
        <v>16.450835999999999</v>
      </c>
      <c r="L22" s="4">
        <f t="shared" si="11"/>
        <v>0.94499414075963339</v>
      </c>
      <c r="M22">
        <v>3.75</v>
      </c>
    </row>
    <row r="23" spans="1:13" x14ac:dyDescent="0.25">
      <c r="A23" s="9">
        <v>11.113</v>
      </c>
      <c r="B23" s="9">
        <v>2.6389999999999998</v>
      </c>
      <c r="C23" s="9">
        <f t="shared" si="6"/>
        <v>29.327206999999998</v>
      </c>
      <c r="D23" s="9">
        <v>4.1470000000000002</v>
      </c>
      <c r="E23" s="9">
        <v>3.2650000000000001</v>
      </c>
      <c r="F23" s="9">
        <f t="shared" si="7"/>
        <v>13.539955000000001</v>
      </c>
      <c r="G23" s="9">
        <v>4.1760000000000002</v>
      </c>
      <c r="H23" s="9">
        <v>3.2669999999999999</v>
      </c>
      <c r="I23" s="9">
        <f t="shared" si="8"/>
        <v>13.642992</v>
      </c>
      <c r="J23" s="9">
        <f t="shared" si="9"/>
        <v>29.327206999999998</v>
      </c>
      <c r="K23" s="9">
        <f t="shared" si="10"/>
        <v>27.182946999999999</v>
      </c>
      <c r="L23" s="4">
        <f t="shared" si="11"/>
        <v>0.92688495702983242</v>
      </c>
      <c r="M23">
        <v>3.75</v>
      </c>
    </row>
    <row r="24" spans="1:13" x14ac:dyDescent="0.25">
      <c r="A24" s="9"/>
      <c r="B24" s="9"/>
      <c r="C24" s="9">
        <f t="shared" si="6"/>
        <v>0</v>
      </c>
      <c r="D24" s="9"/>
      <c r="E24" s="9"/>
      <c r="F24" s="9">
        <f t="shared" si="7"/>
        <v>0</v>
      </c>
      <c r="G24" s="9"/>
      <c r="H24" s="9"/>
      <c r="I24" s="9">
        <f t="shared" si="8"/>
        <v>0</v>
      </c>
      <c r="J24" s="9">
        <f t="shared" si="9"/>
        <v>0</v>
      </c>
      <c r="K24" s="9">
        <f t="shared" si="10"/>
        <v>0</v>
      </c>
      <c r="L24" s="4" t="e">
        <f t="shared" si="11"/>
        <v>#DIV/0!</v>
      </c>
    </row>
    <row r="25" spans="1:13" x14ac:dyDescent="0.25">
      <c r="A25" s="9">
        <v>10.256</v>
      </c>
      <c r="B25" s="9">
        <v>0.621</v>
      </c>
      <c r="C25" s="9">
        <f t="shared" si="6"/>
        <v>6.368976</v>
      </c>
      <c r="D25" s="9">
        <v>4.0410000000000004</v>
      </c>
      <c r="E25" s="9">
        <v>0.78452</v>
      </c>
      <c r="F25" s="9">
        <f t="shared" si="7"/>
        <v>3.1702453200000003</v>
      </c>
      <c r="G25" s="9">
        <v>4.0519999999999996</v>
      </c>
      <c r="H25" s="9">
        <v>0.74270000000000003</v>
      </c>
      <c r="I25" s="9">
        <f t="shared" si="8"/>
        <v>3.0094203999999998</v>
      </c>
      <c r="J25" s="9">
        <f t="shared" si="9"/>
        <v>6.368976</v>
      </c>
      <c r="K25" s="9">
        <f t="shared" si="10"/>
        <v>6.17966572</v>
      </c>
      <c r="L25" s="4">
        <f t="shared" si="11"/>
        <v>0.97027618254488635</v>
      </c>
      <c r="M25">
        <v>3.75</v>
      </c>
    </row>
    <row r="26" spans="1:13" x14ac:dyDescent="0.25">
      <c r="A26" s="9">
        <v>10.428000000000001</v>
      </c>
      <c r="B26" s="9">
        <v>1.0209999999999999</v>
      </c>
      <c r="C26" s="9">
        <f t="shared" si="6"/>
        <v>10.646988</v>
      </c>
      <c r="D26" s="9">
        <v>4.0609999999999999</v>
      </c>
      <c r="E26" s="9">
        <v>1.244</v>
      </c>
      <c r="F26" s="9">
        <f t="shared" si="7"/>
        <v>5.0518840000000003</v>
      </c>
      <c r="G26" s="9">
        <v>4.0789999999999997</v>
      </c>
      <c r="H26" s="9">
        <v>1.242</v>
      </c>
      <c r="I26" s="9">
        <f t="shared" si="8"/>
        <v>5.0661179999999995</v>
      </c>
      <c r="J26" s="9">
        <f t="shared" si="9"/>
        <v>10.646988</v>
      </c>
      <c r="K26" s="9">
        <f t="shared" si="10"/>
        <v>10.118002000000001</v>
      </c>
      <c r="L26" s="4">
        <f t="shared" si="11"/>
        <v>0.95031590154887002</v>
      </c>
    </row>
    <row r="27" spans="1:13" x14ac:dyDescent="0.25">
      <c r="A27" s="9">
        <v>10.683999999999999</v>
      </c>
      <c r="B27" s="9">
        <v>1.623</v>
      </c>
      <c r="C27" s="9">
        <f t="shared" si="6"/>
        <v>17.340132000000001</v>
      </c>
      <c r="D27" s="9">
        <v>4.0919999999999996</v>
      </c>
      <c r="E27" s="9">
        <v>1.9930000000000001</v>
      </c>
      <c r="F27" s="9">
        <f t="shared" si="7"/>
        <v>8.1553559999999994</v>
      </c>
      <c r="G27" s="9">
        <v>4.12</v>
      </c>
      <c r="H27" s="9">
        <v>1.9930000000000001</v>
      </c>
      <c r="I27" s="9">
        <f t="shared" si="8"/>
        <v>8.2111600000000013</v>
      </c>
      <c r="J27" s="9">
        <f t="shared" si="9"/>
        <v>17.340132000000001</v>
      </c>
      <c r="K27" s="9">
        <f t="shared" si="10"/>
        <v>16.366516000000001</v>
      </c>
      <c r="L27" s="4">
        <f t="shared" si="11"/>
        <v>0.94385186917838915</v>
      </c>
    </row>
    <row r="28" spans="1:13" x14ac:dyDescent="0.25">
      <c r="A28" s="9">
        <v>10.855</v>
      </c>
      <c r="B28" s="9">
        <v>2.0329999999999999</v>
      </c>
      <c r="C28" s="9">
        <f t="shared" si="6"/>
        <v>22.068214999999999</v>
      </c>
      <c r="D28" s="9">
        <v>4.1150000000000002</v>
      </c>
      <c r="E28" s="9">
        <v>2.5049999999999999</v>
      </c>
      <c r="F28" s="9">
        <f t="shared" si="7"/>
        <v>10.308075000000001</v>
      </c>
      <c r="G28" s="9">
        <v>4.1479999999999997</v>
      </c>
      <c r="H28" s="9">
        <v>2.5049999999999999</v>
      </c>
      <c r="I28" s="9">
        <f t="shared" si="8"/>
        <v>10.390739999999999</v>
      </c>
      <c r="J28" s="9">
        <f t="shared" si="9"/>
        <v>22.068214999999999</v>
      </c>
      <c r="K28" s="9">
        <f t="shared" si="10"/>
        <v>20.698815</v>
      </c>
      <c r="L28" s="4">
        <f t="shared" si="11"/>
        <v>0.93794695221158586</v>
      </c>
    </row>
    <row r="29" spans="1:13" x14ac:dyDescent="0.25">
      <c r="A29" s="9">
        <v>11.11</v>
      </c>
      <c r="B29" s="9">
        <v>2.6360000000000001</v>
      </c>
      <c r="C29" s="9">
        <f t="shared" si="6"/>
        <v>29.285959999999999</v>
      </c>
      <c r="D29" s="9">
        <v>4.1459999999999999</v>
      </c>
      <c r="E29" s="9">
        <v>3.258</v>
      </c>
      <c r="F29" s="9">
        <f t="shared" si="7"/>
        <v>13.507667999999999</v>
      </c>
      <c r="G29" s="9">
        <v>4.1879999999999997</v>
      </c>
      <c r="H29" s="9">
        <v>3.258</v>
      </c>
      <c r="I29" s="9">
        <f t="shared" si="8"/>
        <v>13.644504</v>
      </c>
      <c r="J29" s="9">
        <f t="shared" si="9"/>
        <v>29.285959999999999</v>
      </c>
      <c r="K29" s="9">
        <f t="shared" si="10"/>
        <v>27.152172</v>
      </c>
      <c r="L29" s="4">
        <f t="shared" si="11"/>
        <v>0.92713955765834555</v>
      </c>
    </row>
    <row r="30" spans="1:13" x14ac:dyDescent="0.25">
      <c r="A30" s="9"/>
      <c r="B30" s="9"/>
      <c r="C30" s="9">
        <f t="shared" si="6"/>
        <v>0</v>
      </c>
      <c r="D30" s="9"/>
      <c r="E30" s="9"/>
      <c r="F30" s="9">
        <f t="shared" si="7"/>
        <v>0</v>
      </c>
      <c r="G30" s="9"/>
      <c r="H30" s="9"/>
      <c r="I30" s="9">
        <f t="shared" si="8"/>
        <v>0</v>
      </c>
      <c r="J30" s="9">
        <f t="shared" si="9"/>
        <v>0</v>
      </c>
      <c r="K30" s="9">
        <f t="shared" si="10"/>
        <v>0</v>
      </c>
      <c r="L30" s="4" t="e">
        <f t="shared" si="11"/>
        <v>#DIV/0!</v>
      </c>
    </row>
    <row r="31" spans="1:13" x14ac:dyDescent="0.25">
      <c r="A31" s="9">
        <v>11.11</v>
      </c>
      <c r="B31" s="9">
        <v>2.645</v>
      </c>
      <c r="C31" s="9">
        <f t="shared" si="6"/>
        <v>29.385949999999998</v>
      </c>
      <c r="D31" s="9">
        <v>4.6420000000000003</v>
      </c>
      <c r="E31" s="9">
        <v>3.2650000000000001</v>
      </c>
      <c r="F31" s="9">
        <f t="shared" si="7"/>
        <v>15.156130000000001</v>
      </c>
      <c r="G31" s="9">
        <v>3.69</v>
      </c>
      <c r="H31" s="9">
        <v>3.2770000000000001</v>
      </c>
      <c r="I31" s="9">
        <f t="shared" si="8"/>
        <v>12.092130000000001</v>
      </c>
      <c r="J31" s="9">
        <f t="shared" si="9"/>
        <v>29.385949999999998</v>
      </c>
      <c r="K31" s="9">
        <f t="shared" si="10"/>
        <v>27.248260000000002</v>
      </c>
      <c r="L31" s="4">
        <f t="shared" si="11"/>
        <v>0.92725469144267936</v>
      </c>
    </row>
    <row r="32" spans="1:13" x14ac:dyDescent="0.25">
      <c r="A32" s="9"/>
      <c r="B32" s="9"/>
      <c r="C32" s="9">
        <f t="shared" si="6"/>
        <v>0</v>
      </c>
      <c r="D32" s="9"/>
      <c r="E32" s="9"/>
      <c r="F32" s="9">
        <f t="shared" si="7"/>
        <v>0</v>
      </c>
      <c r="G32" s="9"/>
      <c r="H32" s="9"/>
      <c r="I32" s="9">
        <f t="shared" si="8"/>
        <v>0</v>
      </c>
      <c r="J32" s="9">
        <f t="shared" si="9"/>
        <v>0</v>
      </c>
      <c r="K32" s="9">
        <f t="shared" si="10"/>
        <v>0</v>
      </c>
      <c r="L32" s="4" t="e">
        <f t="shared" si="11"/>
        <v>#DIV/0!</v>
      </c>
    </row>
    <row r="33" spans="1:12" x14ac:dyDescent="0.25">
      <c r="A33" s="9">
        <v>10.64</v>
      </c>
      <c r="B33" s="9">
        <v>1.7769999999999999</v>
      </c>
      <c r="C33" s="9">
        <f t="shared" si="6"/>
        <v>18.90728</v>
      </c>
      <c r="D33" s="9">
        <v>8.14</v>
      </c>
      <c r="E33" s="9">
        <v>2.1850000000000001</v>
      </c>
      <c r="F33" s="9">
        <f t="shared" si="7"/>
        <v>17.785900000000002</v>
      </c>
      <c r="G33" s="9"/>
      <c r="H33" s="9"/>
      <c r="I33" s="9">
        <f t="shared" si="8"/>
        <v>0</v>
      </c>
      <c r="J33" s="9">
        <f t="shared" si="9"/>
        <v>18.90728</v>
      </c>
      <c r="K33" s="9">
        <f t="shared" si="10"/>
        <v>17.785900000000002</v>
      </c>
      <c r="L33" s="4">
        <f t="shared" si="11"/>
        <v>0.94069056998150979</v>
      </c>
    </row>
    <row r="34" spans="1:12" x14ac:dyDescent="0.25">
      <c r="A34" s="10">
        <v>12.292</v>
      </c>
      <c r="B34" s="10">
        <v>2.3580000000000001</v>
      </c>
      <c r="C34" s="10">
        <f t="shared" si="6"/>
        <v>28.984536000000002</v>
      </c>
      <c r="D34" s="10">
        <v>9.32</v>
      </c>
      <c r="E34" s="10">
        <v>2.9020000000000001</v>
      </c>
      <c r="F34" s="10">
        <f t="shared" si="7"/>
        <v>27.046640000000004</v>
      </c>
      <c r="G34" s="10">
        <v>4.0129999999999999</v>
      </c>
      <c r="H34">
        <v>1.4500000000000001E-2</v>
      </c>
      <c r="I34" s="10">
        <f t="shared" ref="I34" si="12">G34*H34</f>
        <v>5.8188500000000004E-2</v>
      </c>
      <c r="J34" s="10">
        <f t="shared" ref="J34" si="13">C34</f>
        <v>28.984536000000002</v>
      </c>
      <c r="K34" s="10">
        <f t="shared" ref="K34" si="14">F34+I34</f>
        <v>27.104828500000004</v>
      </c>
      <c r="L34" s="4">
        <f t="shared" si="11"/>
        <v>0.93514791818644261</v>
      </c>
    </row>
  </sheetData>
  <mergeCells count="3">
    <mergeCell ref="A1:C1"/>
    <mergeCell ref="D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 10 Input</vt:lpstr>
      <vt:lpstr>About 13.5V Input</vt:lpstr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jb</cp:lastModifiedBy>
  <dcterms:created xsi:type="dcterms:W3CDTF">2022-02-04T17:58:43Z</dcterms:created>
  <dcterms:modified xsi:type="dcterms:W3CDTF">2022-04-02T11:32:22Z</dcterms:modified>
</cp:coreProperties>
</file>