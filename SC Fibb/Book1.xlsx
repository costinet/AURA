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AURA\SC Fibb\"/>
    </mc:Choice>
  </mc:AlternateContent>
  <xr:revisionPtr revIDLastSave="0" documentId="13_ncr:1_{649E8A01-FF0F-42D8-9B2E-8A71300AA538}" xr6:coauthVersionLast="47" xr6:coauthVersionMax="47" xr10:uidLastSave="{00000000-0000-0000-0000-000000000000}"/>
  <bookViews>
    <workbookView xWindow="-120" yWindow="-120" windowWidth="29040" windowHeight="15840" activeTab="1" xr2:uid="{F376AF4D-34B0-4633-9DED-70F80F4BDBF8}"/>
  </bookViews>
  <sheets>
    <sheet name="About 10 Input" sheetId="1" r:id="rId1"/>
    <sheet name="About 13.5V In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2" l="1"/>
  <c r="F21" i="2"/>
  <c r="I21" i="2"/>
  <c r="J21" i="2"/>
  <c r="K21" i="2"/>
  <c r="L21" i="2" s="1"/>
  <c r="I20" i="2"/>
  <c r="F20" i="2"/>
  <c r="K20" i="2" s="1"/>
  <c r="L20" i="2" s="1"/>
  <c r="C20" i="2"/>
  <c r="J20" i="2" s="1"/>
  <c r="I3" i="2" l="1"/>
  <c r="I10" i="2"/>
  <c r="K10" i="2" s="1"/>
  <c r="F10" i="2"/>
  <c r="C10" i="2"/>
  <c r="J10" i="2" s="1"/>
  <c r="I9" i="2"/>
  <c r="F9" i="2"/>
  <c r="K9" i="2" s="1"/>
  <c r="C9" i="2"/>
  <c r="J9" i="2" s="1"/>
  <c r="I8" i="2"/>
  <c r="F8" i="2"/>
  <c r="C8" i="2"/>
  <c r="J8" i="2" s="1"/>
  <c r="I7" i="2"/>
  <c r="F7" i="2"/>
  <c r="K7" i="2" s="1"/>
  <c r="L7" i="2" s="1"/>
  <c r="C7" i="2"/>
  <c r="J7" i="2" s="1"/>
  <c r="I6" i="2"/>
  <c r="F6" i="2"/>
  <c r="K6" i="2" s="1"/>
  <c r="C6" i="2"/>
  <c r="J6" i="2" s="1"/>
  <c r="I5" i="2"/>
  <c r="F5" i="2"/>
  <c r="K5" i="2" s="1"/>
  <c r="C5" i="2"/>
  <c r="J5" i="2" s="1"/>
  <c r="I4" i="2"/>
  <c r="F4" i="2"/>
  <c r="K4" i="2" s="1"/>
  <c r="C4" i="2"/>
  <c r="J4" i="2" s="1"/>
  <c r="F3" i="2"/>
  <c r="C3" i="2"/>
  <c r="J3" i="2" s="1"/>
  <c r="I4" i="1"/>
  <c r="I5" i="1"/>
  <c r="I6" i="1"/>
  <c r="I7" i="1"/>
  <c r="I8" i="1"/>
  <c r="I9" i="1"/>
  <c r="I10" i="1"/>
  <c r="F4" i="1"/>
  <c r="F5" i="1"/>
  <c r="F6" i="1"/>
  <c r="F7" i="1"/>
  <c r="F8" i="1"/>
  <c r="K8" i="1" s="1"/>
  <c r="F9" i="1"/>
  <c r="K9" i="1" s="1"/>
  <c r="F10" i="1"/>
  <c r="K10" i="1" s="1"/>
  <c r="C4" i="1"/>
  <c r="J4" i="1" s="1"/>
  <c r="C5" i="1"/>
  <c r="J5" i="1" s="1"/>
  <c r="C6" i="1"/>
  <c r="J6" i="1" s="1"/>
  <c r="C7" i="1"/>
  <c r="J7" i="1" s="1"/>
  <c r="C8" i="1"/>
  <c r="J8" i="1" s="1"/>
  <c r="C9" i="1"/>
  <c r="J9" i="1" s="1"/>
  <c r="C10" i="1"/>
  <c r="J10" i="1" s="1"/>
  <c r="L3" i="1"/>
  <c r="K3" i="1"/>
  <c r="J3" i="1"/>
  <c r="I3" i="1"/>
  <c r="F3" i="1"/>
  <c r="C3" i="1"/>
  <c r="K8" i="2" l="1"/>
  <c r="K3" i="2"/>
  <c r="L3" i="2" s="1"/>
  <c r="L4" i="2"/>
  <c r="L5" i="2"/>
  <c r="L8" i="2"/>
  <c r="L6" i="2"/>
  <c r="L9" i="2"/>
  <c r="L10" i="2"/>
  <c r="L10" i="1"/>
  <c r="L9" i="1"/>
  <c r="L8" i="1"/>
  <c r="K7" i="1"/>
  <c r="L7" i="1" s="1"/>
  <c r="K6" i="1"/>
  <c r="L6" i="1"/>
  <c r="K5" i="1"/>
  <c r="L5" i="1"/>
  <c r="K4" i="1"/>
  <c r="L4" i="1" s="1"/>
</calcChain>
</file>

<file path=xl/sharedStrings.xml><?xml version="1.0" encoding="utf-8"?>
<sst xmlns="http://schemas.openxmlformats.org/spreadsheetml/2006/main" count="75" uniqueCount="23">
  <si>
    <t xml:space="preserve">Input </t>
  </si>
  <si>
    <t>Input Power</t>
  </si>
  <si>
    <t>Output Power</t>
  </si>
  <si>
    <t>Efficiency</t>
  </si>
  <si>
    <t>8 ohms output</t>
  </si>
  <si>
    <t>No kelvin 10 ohms</t>
  </si>
  <si>
    <t>6 ohms output</t>
  </si>
  <si>
    <t>5 ohms output</t>
  </si>
  <si>
    <t>4 ohms output</t>
  </si>
  <si>
    <t>2 ohms output</t>
  </si>
  <si>
    <t>3 ohms output</t>
  </si>
  <si>
    <t>1 ohms output</t>
  </si>
  <si>
    <t>Current (A)</t>
  </si>
  <si>
    <t>Power (W)</t>
  </si>
  <si>
    <t>Voltage (V)</t>
  </si>
  <si>
    <t>Output 1</t>
  </si>
  <si>
    <t>Output 2</t>
  </si>
  <si>
    <t>Notes</t>
  </si>
  <si>
    <t>Power (w)</t>
  </si>
  <si>
    <t>(%)</t>
  </si>
  <si>
    <t>Simulation</t>
  </si>
  <si>
    <t>4 V output</t>
  </si>
  <si>
    <t>4V output after cap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</si>
</sst>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Input ≈10V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'About 10 Input'!$K$3:$K$10</c:f>
              <c:numCache>
                <c:formatCode>General</c:formatCode>
                <c:ptCount val="8"/>
                <c:pt idx="0">
                  <c:v>3.2040131999999995</c:v>
                </c:pt>
                <c:pt idx="1">
                  <c:v>4.100651</c:v>
                </c:pt>
                <c:pt idx="2">
                  <c:v>5.3865459999999992</c:v>
                </c:pt>
                <c:pt idx="3">
                  <c:v>6.3816519999999999</c:v>
                </c:pt>
                <c:pt idx="4">
                  <c:v>7.8456650000000003</c:v>
                </c:pt>
                <c:pt idx="5">
                  <c:v>10.107414</c:v>
                </c:pt>
                <c:pt idx="6">
                  <c:v>14.530808</c:v>
                </c:pt>
                <c:pt idx="7">
                  <c:v>25.422519999999999</c:v>
                </c:pt>
              </c:numCache>
            </c:numRef>
          </c:xVal>
          <c:yVal>
            <c:numRef>
              <c:f>'About 10 Input'!$L$3:$L$10</c:f>
              <c:numCache>
                <c:formatCode>0.00%</c:formatCode>
                <c:ptCount val="8"/>
                <c:pt idx="0">
                  <c:v>0.81527053435114483</c:v>
                </c:pt>
                <c:pt idx="1">
                  <c:v>0.87422739095211699</c:v>
                </c:pt>
                <c:pt idx="2">
                  <c:v>0.90392408612821884</c:v>
                </c:pt>
                <c:pt idx="3">
                  <c:v>0.91873833158847018</c:v>
                </c:pt>
                <c:pt idx="4">
                  <c:v>0.93254098434700072</c:v>
                </c:pt>
                <c:pt idx="5">
                  <c:v>0.93830622379659512</c:v>
                </c:pt>
                <c:pt idx="6">
                  <c:v>0.95036605044338363</c:v>
                </c:pt>
                <c:pt idx="7">
                  <c:v>0.92520054700062393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5-4968-BE8D-7CE319E72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8310271"/>
        <c:axId val="1578301119"/>
      </c:scatterChart>
      <c:valAx>
        <c:axId val="157831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</a:t>
                </a:r>
                <a:r>
                  <a:rPr lang="en-US" baseline="0"/>
                  <a:t> Power (W)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301119"/>
        <c:crosses val="autoZero"/>
        <c:crossBetween val="midCat"/>
      </c:valAx>
      <c:valAx>
        <c:axId val="157830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310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Input ≈10V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'About 13.5V Input'!$K$3:$K$10</c:f>
              <c:numCache>
                <c:formatCode>General</c:formatCode>
                <c:ptCount val="8"/>
                <c:pt idx="0">
                  <c:v>3.1992799999999999</c:v>
                </c:pt>
                <c:pt idx="1">
                  <c:v>3.9973260000000002</c:v>
                </c:pt>
                <c:pt idx="2">
                  <c:v>5.1652439999999995</c:v>
                </c:pt>
                <c:pt idx="3">
                  <c:v>6.3816519999999999</c:v>
                </c:pt>
                <c:pt idx="4">
                  <c:v>7.8456650000000003</c:v>
                </c:pt>
                <c:pt idx="5">
                  <c:v>8.702770000000001</c:v>
                </c:pt>
                <c:pt idx="6">
                  <c:v>2.8465319999999998</c:v>
                </c:pt>
                <c:pt idx="7">
                  <c:v>5.416500000000001</c:v>
                </c:pt>
              </c:numCache>
            </c:numRef>
          </c:xVal>
          <c:yVal>
            <c:numRef>
              <c:f>'About 13.5V Input'!$L$3:$L$10</c:f>
              <c:numCache>
                <c:formatCode>0.00%</c:formatCode>
                <c:ptCount val="8"/>
                <c:pt idx="0">
                  <c:v>0.78607817439432548</c:v>
                </c:pt>
                <c:pt idx="1">
                  <c:v>0.81583675941860501</c:v>
                </c:pt>
                <c:pt idx="2">
                  <c:v>0.8428023510545708</c:v>
                </c:pt>
                <c:pt idx="3">
                  <c:v>0.91873833158847018</c:v>
                </c:pt>
                <c:pt idx="4">
                  <c:v>0.93254098434700072</c:v>
                </c:pt>
                <c:pt idx="5">
                  <c:v>0.83655866639238852</c:v>
                </c:pt>
                <c:pt idx="6">
                  <c:v>0.84991248672073316</c:v>
                </c:pt>
                <c:pt idx="7">
                  <c:v>0.83741618494428838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CA-404A-A925-F83DB5EA3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8310271"/>
        <c:axId val="1578301119"/>
      </c:scatterChart>
      <c:valAx>
        <c:axId val="157831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</a:t>
                </a:r>
                <a:r>
                  <a:rPr lang="en-US" baseline="0"/>
                  <a:t> Power (W)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301119"/>
        <c:crosses val="autoZero"/>
        <c:crossBetween val="midCat"/>
      </c:valAx>
      <c:valAx>
        <c:axId val="157830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310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15</xdr:row>
      <xdr:rowOff>123825</xdr:rowOff>
    </xdr:from>
    <xdr:to>
      <xdr:col>12</xdr:col>
      <xdr:colOff>171450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448051-2664-49AF-B452-6718D10A35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123825</xdr:colOff>
      <xdr:row>11</xdr:row>
      <xdr:rowOff>171450</xdr:rowOff>
    </xdr:from>
    <xdr:to>
      <xdr:col>21</xdr:col>
      <xdr:colOff>428625</xdr:colOff>
      <xdr:row>26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4255E-9F6D-4038-898B-048BEC317C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3C93C-468A-4B5B-ACC3-BA341E1A3401}">
  <dimension ref="A1:M22"/>
  <sheetViews>
    <sheetView workbookViewId="0">
      <selection activeCell="F13" sqref="F13"/>
    </sheetView>
  </sheetViews>
  <sheetFormatPr defaultRowHeight="15" x14ac:dyDescent="0.25"/>
  <cols>
    <col min="1" max="1" width="11" bestFit="1" customWidth="1"/>
    <col min="2" max="2" width="10.85546875" bestFit="1" customWidth="1"/>
    <col min="3" max="3" width="10.42578125" bestFit="1" customWidth="1"/>
    <col min="4" max="4" width="11" bestFit="1" customWidth="1"/>
    <col min="5" max="5" width="10.85546875" bestFit="1" customWidth="1"/>
    <col min="6" max="6" width="10.42578125" bestFit="1" customWidth="1"/>
    <col min="7" max="7" width="11" bestFit="1" customWidth="1"/>
    <col min="8" max="8" width="10.85546875" bestFit="1" customWidth="1"/>
    <col min="9" max="9" width="10.42578125" bestFit="1" customWidth="1"/>
    <col min="10" max="10" width="11.85546875" bestFit="1" customWidth="1"/>
    <col min="11" max="11" width="13.5703125" bestFit="1" customWidth="1"/>
    <col min="12" max="12" width="9.5703125" bestFit="1" customWidth="1"/>
    <col min="13" max="13" width="17.42578125" bestFit="1" customWidth="1"/>
  </cols>
  <sheetData>
    <row r="1" spans="1:13" x14ac:dyDescent="0.25">
      <c r="A1" s="5" t="s">
        <v>0</v>
      </c>
      <c r="B1" s="5"/>
      <c r="C1" s="5"/>
      <c r="D1" s="5" t="s">
        <v>15</v>
      </c>
      <c r="E1" s="5"/>
      <c r="F1" s="5"/>
      <c r="G1" s="5" t="s">
        <v>16</v>
      </c>
      <c r="H1" s="5"/>
      <c r="I1" s="5"/>
      <c r="J1" t="s">
        <v>1</v>
      </c>
      <c r="K1" t="s">
        <v>2</v>
      </c>
      <c r="L1" t="s">
        <v>3</v>
      </c>
      <c r="M1" t="s">
        <v>17</v>
      </c>
    </row>
    <row r="2" spans="1:13" x14ac:dyDescent="0.25">
      <c r="A2" t="s">
        <v>14</v>
      </c>
      <c r="B2" t="s">
        <v>12</v>
      </c>
      <c r="C2" t="s">
        <v>13</v>
      </c>
      <c r="D2" t="s">
        <v>14</v>
      </c>
      <c r="E2" t="s">
        <v>12</v>
      </c>
      <c r="F2" t="s">
        <v>13</v>
      </c>
      <c r="G2" t="s">
        <v>14</v>
      </c>
      <c r="H2" t="s">
        <v>12</v>
      </c>
      <c r="I2" t="s">
        <v>13</v>
      </c>
      <c r="J2" t="s">
        <v>13</v>
      </c>
      <c r="K2" t="s">
        <v>18</v>
      </c>
      <c r="L2" t="s">
        <v>19</v>
      </c>
    </row>
    <row r="3" spans="1:13" x14ac:dyDescent="0.25">
      <c r="A3" s="2">
        <v>10</v>
      </c>
      <c r="B3" s="2">
        <v>0.39300000000000002</v>
      </c>
      <c r="C3" s="2">
        <f>A3*B3</f>
        <v>3.93</v>
      </c>
      <c r="D3" s="2">
        <v>4.0119999999999996</v>
      </c>
      <c r="E3" s="2">
        <v>0.40089999999999998</v>
      </c>
      <c r="F3" s="2">
        <f>D3*E3</f>
        <v>1.6084107999999997</v>
      </c>
      <c r="G3" s="2">
        <v>3.9969999999999999</v>
      </c>
      <c r="H3" s="2">
        <v>0.3992</v>
      </c>
      <c r="I3" s="2">
        <f>G3*H3</f>
        <v>1.5956024</v>
      </c>
      <c r="J3" s="2">
        <f>C3</f>
        <v>3.93</v>
      </c>
      <c r="K3" s="2">
        <f>F3+I3</f>
        <v>3.2040131999999995</v>
      </c>
      <c r="L3" s="4">
        <f>K3/J3</f>
        <v>0.81527053435114483</v>
      </c>
      <c r="M3" s="2" t="s">
        <v>5</v>
      </c>
    </row>
    <row r="4" spans="1:13" x14ac:dyDescent="0.25">
      <c r="A4" s="2">
        <v>9.98</v>
      </c>
      <c r="B4" s="2">
        <v>0.47</v>
      </c>
      <c r="C4" s="2">
        <f t="shared" ref="C4:C10" si="0">A4*B4</f>
        <v>4.6905999999999999</v>
      </c>
      <c r="D4" s="2">
        <v>4.13</v>
      </c>
      <c r="E4" s="2">
        <v>0.49840000000000001</v>
      </c>
      <c r="F4" s="2">
        <f t="shared" ref="F4:F10" si="1">D4*E4</f>
        <v>2.058392</v>
      </c>
      <c r="G4" s="2">
        <v>4.1100000000000003</v>
      </c>
      <c r="H4" s="2">
        <v>0.49690000000000001</v>
      </c>
      <c r="I4" s="2">
        <f t="shared" ref="I4:I10" si="2">G4*H4</f>
        <v>2.042259</v>
      </c>
      <c r="J4" s="2">
        <f t="shared" ref="J4:J10" si="3">C4</f>
        <v>4.6905999999999999</v>
      </c>
      <c r="K4" s="2">
        <f t="shared" ref="K4:K10" si="4">F4+I4</f>
        <v>4.100651</v>
      </c>
      <c r="L4" s="4">
        <f t="shared" ref="L4:L10" si="5">K4/J4</f>
        <v>0.87422739095211699</v>
      </c>
      <c r="M4" s="2" t="s">
        <v>4</v>
      </c>
    </row>
    <row r="5" spans="1:13" x14ac:dyDescent="0.25">
      <c r="A5" s="2">
        <v>9.9700000000000006</v>
      </c>
      <c r="B5" s="2">
        <v>0.59770000000000001</v>
      </c>
      <c r="C5" s="2">
        <f t="shared" si="0"/>
        <v>5.9590690000000004</v>
      </c>
      <c r="D5" s="2">
        <v>4.0999999999999996</v>
      </c>
      <c r="E5" s="2">
        <v>0.6593</v>
      </c>
      <c r="F5" s="2">
        <f t="shared" si="1"/>
        <v>2.7031299999999998</v>
      </c>
      <c r="G5" s="2">
        <v>4.08</v>
      </c>
      <c r="H5" s="2">
        <v>0.65769999999999995</v>
      </c>
      <c r="I5" s="2">
        <f t="shared" si="2"/>
        <v>2.6834159999999998</v>
      </c>
      <c r="J5" s="2">
        <f t="shared" si="3"/>
        <v>5.9590690000000004</v>
      </c>
      <c r="K5" s="2">
        <f t="shared" si="4"/>
        <v>5.3865459999999992</v>
      </c>
      <c r="L5" s="4">
        <f t="shared" si="5"/>
        <v>0.90392408612821884</v>
      </c>
      <c r="M5" s="2" t="s">
        <v>6</v>
      </c>
    </row>
    <row r="6" spans="1:13" x14ac:dyDescent="0.25">
      <c r="A6" s="2">
        <v>9.9600000000000009</v>
      </c>
      <c r="B6" s="2">
        <v>0.69740000000000002</v>
      </c>
      <c r="C6" s="2">
        <f t="shared" si="0"/>
        <v>6.9461040000000009</v>
      </c>
      <c r="D6" s="2">
        <v>4.07</v>
      </c>
      <c r="E6" s="2">
        <v>0.78580000000000005</v>
      </c>
      <c r="F6" s="2">
        <f t="shared" si="1"/>
        <v>3.1982060000000003</v>
      </c>
      <c r="G6" s="2">
        <v>4.0599999999999996</v>
      </c>
      <c r="H6" s="2">
        <v>0.78410000000000002</v>
      </c>
      <c r="I6" s="2">
        <f t="shared" si="2"/>
        <v>3.1834459999999996</v>
      </c>
      <c r="J6" s="2">
        <f t="shared" si="3"/>
        <v>6.9461040000000009</v>
      </c>
      <c r="K6" s="2">
        <f t="shared" si="4"/>
        <v>6.3816519999999999</v>
      </c>
      <c r="L6" s="4">
        <f t="shared" si="5"/>
        <v>0.91873833158847018</v>
      </c>
      <c r="M6" s="2" t="s">
        <v>7</v>
      </c>
    </row>
    <row r="7" spans="1:13" x14ac:dyDescent="0.25">
      <c r="A7" s="2">
        <v>9.9600000000000009</v>
      </c>
      <c r="B7" s="2">
        <v>0.84470000000000001</v>
      </c>
      <c r="C7" s="2">
        <f t="shared" si="0"/>
        <v>8.4132120000000015</v>
      </c>
      <c r="D7" s="2">
        <v>4.04</v>
      </c>
      <c r="E7" s="2">
        <v>0.97330000000000005</v>
      </c>
      <c r="F7" s="2">
        <f t="shared" si="1"/>
        <v>3.9321320000000002</v>
      </c>
      <c r="G7" s="2">
        <v>4.03</v>
      </c>
      <c r="H7" s="2">
        <v>0.97109999999999996</v>
      </c>
      <c r="I7" s="2">
        <f t="shared" si="2"/>
        <v>3.9135330000000002</v>
      </c>
      <c r="J7" s="2">
        <f t="shared" si="3"/>
        <v>8.4132120000000015</v>
      </c>
      <c r="K7" s="2">
        <f t="shared" si="4"/>
        <v>7.8456650000000003</v>
      </c>
      <c r="L7" s="4">
        <f t="shared" si="5"/>
        <v>0.93254098434700072</v>
      </c>
      <c r="M7" s="2" t="s">
        <v>8</v>
      </c>
    </row>
    <row r="8" spans="1:13" x14ac:dyDescent="0.25">
      <c r="A8" s="2">
        <v>9.94</v>
      </c>
      <c r="B8" s="2">
        <v>1.0837000000000001</v>
      </c>
      <c r="C8" s="2">
        <f t="shared" si="0"/>
        <v>10.771978000000001</v>
      </c>
      <c r="D8" s="2">
        <v>3.93</v>
      </c>
      <c r="E8" s="2">
        <v>1.2777000000000001</v>
      </c>
      <c r="F8" s="2">
        <f t="shared" si="1"/>
        <v>5.0213610000000006</v>
      </c>
      <c r="G8" s="2">
        <v>3.99</v>
      </c>
      <c r="H8" s="2">
        <v>1.2746999999999999</v>
      </c>
      <c r="I8" s="2">
        <f t="shared" si="2"/>
        <v>5.0860529999999997</v>
      </c>
      <c r="J8" s="2">
        <f t="shared" si="3"/>
        <v>10.771978000000001</v>
      </c>
      <c r="K8" s="2">
        <f t="shared" si="4"/>
        <v>10.107414</v>
      </c>
      <c r="L8" s="4">
        <f t="shared" si="5"/>
        <v>0.93830622379659512</v>
      </c>
      <c r="M8" s="2" t="s">
        <v>10</v>
      </c>
    </row>
    <row r="9" spans="1:13" x14ac:dyDescent="0.25">
      <c r="A9" s="2">
        <v>9.92</v>
      </c>
      <c r="B9" s="2">
        <v>1.5412999999999999</v>
      </c>
      <c r="C9" s="2">
        <f t="shared" si="0"/>
        <v>15.289695999999999</v>
      </c>
      <c r="D9" s="2">
        <v>3.86</v>
      </c>
      <c r="E9" s="2">
        <v>1.8704000000000001</v>
      </c>
      <c r="F9" s="2">
        <f t="shared" si="1"/>
        <v>7.2197440000000004</v>
      </c>
      <c r="G9" s="2">
        <v>3.94</v>
      </c>
      <c r="H9" s="2">
        <v>1.8555999999999999</v>
      </c>
      <c r="I9" s="2">
        <f t="shared" si="2"/>
        <v>7.311064</v>
      </c>
      <c r="J9" s="2">
        <f t="shared" si="3"/>
        <v>15.289695999999999</v>
      </c>
      <c r="K9" s="2">
        <f t="shared" si="4"/>
        <v>14.530808</v>
      </c>
      <c r="L9" s="4">
        <f t="shared" si="5"/>
        <v>0.95036605044338363</v>
      </c>
      <c r="M9" s="2" t="s">
        <v>9</v>
      </c>
    </row>
    <row r="10" spans="1:13" x14ac:dyDescent="0.25">
      <c r="A10" s="2">
        <v>9.86</v>
      </c>
      <c r="B10" s="2">
        <v>2.7867999999999999</v>
      </c>
      <c r="C10" s="2">
        <f t="shared" si="0"/>
        <v>27.477847999999998</v>
      </c>
      <c r="D10" s="2">
        <v>3.65</v>
      </c>
      <c r="E10" s="2">
        <v>3.4373</v>
      </c>
      <c r="F10" s="2">
        <f t="shared" si="1"/>
        <v>12.546144999999999</v>
      </c>
      <c r="G10" s="2">
        <v>3.75</v>
      </c>
      <c r="H10" s="2">
        <v>3.4337</v>
      </c>
      <c r="I10" s="2">
        <f t="shared" si="2"/>
        <v>12.876374999999999</v>
      </c>
      <c r="J10" s="2">
        <f t="shared" si="3"/>
        <v>27.477847999999998</v>
      </c>
      <c r="K10" s="2">
        <f t="shared" si="4"/>
        <v>25.422519999999999</v>
      </c>
      <c r="L10" s="4">
        <f t="shared" si="5"/>
        <v>0.92520054700062393</v>
      </c>
      <c r="M10" s="2" t="s">
        <v>11</v>
      </c>
    </row>
    <row r="11" spans="1:13" x14ac:dyDescent="0.25">
      <c r="L11" s="1"/>
    </row>
    <row r="12" spans="1:13" x14ac:dyDescent="0.25">
      <c r="L12" s="1"/>
    </row>
    <row r="13" spans="1:13" x14ac:dyDescent="0.25">
      <c r="L13" s="1"/>
    </row>
    <row r="14" spans="1:13" x14ac:dyDescent="0.25">
      <c r="L14" s="1"/>
    </row>
    <row r="15" spans="1:13" x14ac:dyDescent="0.25">
      <c r="L15" s="1"/>
    </row>
    <row r="16" spans="1:13" x14ac:dyDescent="0.25">
      <c r="L16" s="1"/>
    </row>
    <row r="17" spans="12:12" x14ac:dyDescent="0.25">
      <c r="L17" s="1"/>
    </row>
    <row r="18" spans="12:12" x14ac:dyDescent="0.25">
      <c r="L18" s="1"/>
    </row>
    <row r="19" spans="12:12" x14ac:dyDescent="0.25">
      <c r="L19" s="1"/>
    </row>
    <row r="20" spans="12:12" x14ac:dyDescent="0.25">
      <c r="L20" s="1"/>
    </row>
    <row r="21" spans="12:12" x14ac:dyDescent="0.25">
      <c r="L21" s="1"/>
    </row>
    <row r="22" spans="12:12" x14ac:dyDescent="0.25">
      <c r="L22" s="1"/>
    </row>
  </sheetData>
  <mergeCells count="3">
    <mergeCell ref="A1:C1"/>
    <mergeCell ref="D1:F1"/>
    <mergeCell ref="G1:I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93C4B-AEFD-47EC-89D4-9A245DEC5ED9}">
  <dimension ref="A1:M22"/>
  <sheetViews>
    <sheetView tabSelected="1" workbookViewId="0">
      <selection sqref="A1:M10"/>
    </sheetView>
  </sheetViews>
  <sheetFormatPr defaultRowHeight="15" x14ac:dyDescent="0.25"/>
  <cols>
    <col min="1" max="1" width="11" bestFit="1" customWidth="1"/>
    <col min="2" max="2" width="10.85546875" bestFit="1" customWidth="1"/>
    <col min="3" max="3" width="10.42578125" bestFit="1" customWidth="1"/>
    <col min="4" max="4" width="11" bestFit="1" customWidth="1"/>
    <col min="5" max="5" width="10.85546875" bestFit="1" customWidth="1"/>
    <col min="6" max="6" width="10.42578125" bestFit="1" customWidth="1"/>
    <col min="7" max="7" width="11" bestFit="1" customWidth="1"/>
    <col min="8" max="8" width="10.85546875" bestFit="1" customWidth="1"/>
    <col min="9" max="9" width="10.42578125" bestFit="1" customWidth="1"/>
    <col min="10" max="10" width="11.85546875" bestFit="1" customWidth="1"/>
    <col min="11" max="11" width="13.5703125" bestFit="1" customWidth="1"/>
    <col min="12" max="12" width="9.5703125" bestFit="1" customWidth="1"/>
    <col min="13" max="13" width="28.85546875" customWidth="1"/>
  </cols>
  <sheetData>
    <row r="1" spans="1:13" x14ac:dyDescent="0.25">
      <c r="A1" s="5" t="s">
        <v>0</v>
      </c>
      <c r="B1" s="5"/>
      <c r="C1" s="5"/>
      <c r="D1" s="5" t="s">
        <v>15</v>
      </c>
      <c r="E1" s="5"/>
      <c r="F1" s="5"/>
      <c r="G1" s="5" t="s">
        <v>16</v>
      </c>
      <c r="H1" s="5"/>
      <c r="I1" s="5"/>
      <c r="J1" t="s">
        <v>1</v>
      </c>
      <c r="K1" t="s">
        <v>2</v>
      </c>
      <c r="L1" t="s">
        <v>3</v>
      </c>
      <c r="M1" t="s">
        <v>17</v>
      </c>
    </row>
    <row r="2" spans="1:13" x14ac:dyDescent="0.25">
      <c r="A2" t="s">
        <v>14</v>
      </c>
      <c r="B2" t="s">
        <v>12</v>
      </c>
      <c r="C2" t="s">
        <v>13</v>
      </c>
      <c r="D2" t="s">
        <v>14</v>
      </c>
      <c r="E2" t="s">
        <v>12</v>
      </c>
      <c r="F2" t="s">
        <v>13</v>
      </c>
      <c r="G2" t="s">
        <v>14</v>
      </c>
      <c r="H2" t="s">
        <v>12</v>
      </c>
      <c r="I2" t="s">
        <v>13</v>
      </c>
      <c r="J2" t="s">
        <v>13</v>
      </c>
      <c r="K2" t="s">
        <v>18</v>
      </c>
      <c r="L2" t="s">
        <v>19</v>
      </c>
    </row>
    <row r="3" spans="1:13" x14ac:dyDescent="0.25">
      <c r="A3" s="3">
        <v>13.58</v>
      </c>
      <c r="B3" s="3">
        <v>0.29970000000000002</v>
      </c>
      <c r="C3" s="3">
        <f>A3*B3</f>
        <v>4.0699260000000006</v>
      </c>
      <c r="D3" s="3">
        <v>4.04</v>
      </c>
      <c r="E3" s="3">
        <v>0.38200000000000001</v>
      </c>
      <c r="F3" s="3">
        <f>D3*E3</f>
        <v>1.54328</v>
      </c>
      <c r="G3" s="3">
        <v>4.1399999999999997</v>
      </c>
      <c r="H3" s="3">
        <v>0.4</v>
      </c>
      <c r="I3" s="3">
        <f t="shared" ref="I3:I10" si="0">G3*H3</f>
        <v>1.6559999999999999</v>
      </c>
      <c r="J3" s="3">
        <f>C3</f>
        <v>4.0699260000000006</v>
      </c>
      <c r="K3" s="3">
        <f>F3+I3</f>
        <v>3.1992799999999999</v>
      </c>
      <c r="L3" s="4">
        <f>K3/J3</f>
        <v>0.78607817439432548</v>
      </c>
      <c r="M3" s="3" t="s">
        <v>5</v>
      </c>
    </row>
    <row r="4" spans="1:13" x14ac:dyDescent="0.25">
      <c r="A4" s="3">
        <v>13.58</v>
      </c>
      <c r="B4" s="3">
        <v>0.36080000000000001</v>
      </c>
      <c r="C4" s="3">
        <f t="shared" ref="C4:C10" si="1">A4*B4</f>
        <v>4.8996640000000005</v>
      </c>
      <c r="D4" s="3">
        <v>3.94</v>
      </c>
      <c r="E4" s="3">
        <v>0.4879</v>
      </c>
      <c r="F4" s="3">
        <f t="shared" ref="F4:F10" si="2">D4*E4</f>
        <v>1.922326</v>
      </c>
      <c r="G4" s="3">
        <v>4.1500000000000004</v>
      </c>
      <c r="H4" s="3">
        <v>0.5</v>
      </c>
      <c r="I4" s="3">
        <f t="shared" si="0"/>
        <v>2.0750000000000002</v>
      </c>
      <c r="J4" s="3">
        <f t="shared" ref="J4:J10" si="3">C4</f>
        <v>4.8996640000000005</v>
      </c>
      <c r="K4" s="3">
        <f t="shared" ref="K4:K10" si="4">F4+I4</f>
        <v>3.9973260000000002</v>
      </c>
      <c r="L4" s="4">
        <f t="shared" ref="L4:L10" si="5">K4/J4</f>
        <v>0.81583675941860501</v>
      </c>
      <c r="M4" s="3" t="s">
        <v>4</v>
      </c>
    </row>
    <row r="5" spans="1:13" x14ac:dyDescent="0.25">
      <c r="A5" s="3">
        <v>13.58</v>
      </c>
      <c r="B5" s="3">
        <v>0.45129999999999998</v>
      </c>
      <c r="C5" s="3">
        <f t="shared" si="1"/>
        <v>6.128654</v>
      </c>
      <c r="D5" s="3">
        <v>3.92</v>
      </c>
      <c r="E5" s="3">
        <v>0.64300000000000002</v>
      </c>
      <c r="F5" s="3">
        <f t="shared" si="2"/>
        <v>2.5205600000000001</v>
      </c>
      <c r="G5" s="3">
        <v>4.0599999999999996</v>
      </c>
      <c r="H5" s="3">
        <v>0.65139999999999998</v>
      </c>
      <c r="I5" s="3">
        <f t="shared" si="0"/>
        <v>2.6446839999999998</v>
      </c>
      <c r="J5" s="3">
        <f t="shared" si="3"/>
        <v>6.128654</v>
      </c>
      <c r="K5" s="3">
        <f t="shared" si="4"/>
        <v>5.1652439999999995</v>
      </c>
      <c r="L5" s="4">
        <f t="shared" si="5"/>
        <v>0.8428023510545708</v>
      </c>
      <c r="M5" s="3" t="s">
        <v>6</v>
      </c>
    </row>
    <row r="6" spans="1:13" x14ac:dyDescent="0.25">
      <c r="A6" s="3">
        <v>9.9600000000000009</v>
      </c>
      <c r="B6" s="3">
        <v>0.69740000000000002</v>
      </c>
      <c r="C6" s="3">
        <f t="shared" si="1"/>
        <v>6.9461040000000009</v>
      </c>
      <c r="D6" s="3">
        <v>4.07</v>
      </c>
      <c r="E6" s="3">
        <v>0.78580000000000005</v>
      </c>
      <c r="F6" s="3">
        <f t="shared" si="2"/>
        <v>3.1982060000000003</v>
      </c>
      <c r="G6" s="3">
        <v>4.0599999999999996</v>
      </c>
      <c r="H6" s="3">
        <v>0.78410000000000002</v>
      </c>
      <c r="I6" s="3">
        <f t="shared" si="0"/>
        <v>3.1834459999999996</v>
      </c>
      <c r="J6" s="3">
        <f t="shared" si="3"/>
        <v>6.9461040000000009</v>
      </c>
      <c r="K6" s="3">
        <f t="shared" si="4"/>
        <v>6.3816519999999999</v>
      </c>
      <c r="L6" s="4">
        <f t="shared" si="5"/>
        <v>0.91873833158847018</v>
      </c>
      <c r="M6" s="3" t="s">
        <v>7</v>
      </c>
    </row>
    <row r="7" spans="1:13" x14ac:dyDescent="0.25">
      <c r="A7" s="3">
        <v>9.9600000000000009</v>
      </c>
      <c r="B7" s="3">
        <v>0.84470000000000001</v>
      </c>
      <c r="C7" s="3">
        <f t="shared" si="1"/>
        <v>8.4132120000000015</v>
      </c>
      <c r="D7" s="3">
        <v>4.04</v>
      </c>
      <c r="E7" s="3">
        <v>0.97330000000000005</v>
      </c>
      <c r="F7" s="3">
        <f t="shared" si="2"/>
        <v>3.9321320000000002</v>
      </c>
      <c r="G7" s="3">
        <v>4.03</v>
      </c>
      <c r="H7" s="3">
        <v>0.97109999999999996</v>
      </c>
      <c r="I7" s="3">
        <f t="shared" si="0"/>
        <v>3.9135330000000002</v>
      </c>
      <c r="J7" s="3">
        <f t="shared" si="3"/>
        <v>8.4132120000000015</v>
      </c>
      <c r="K7" s="3">
        <f t="shared" si="4"/>
        <v>7.8456650000000003</v>
      </c>
      <c r="L7" s="4">
        <f t="shared" si="5"/>
        <v>0.93254098434700072</v>
      </c>
      <c r="M7" s="3" t="s">
        <v>8</v>
      </c>
    </row>
    <row r="8" spans="1:13" x14ac:dyDescent="0.25">
      <c r="A8" s="3">
        <v>14.99</v>
      </c>
      <c r="B8" s="3">
        <v>0.69399999999999995</v>
      </c>
      <c r="C8" s="3">
        <f t="shared" si="1"/>
        <v>10.40306</v>
      </c>
      <c r="D8" s="3">
        <v>4.0999999999999996</v>
      </c>
      <c r="E8" s="3">
        <v>0.99729999999999996</v>
      </c>
      <c r="F8" s="3">
        <f t="shared" si="2"/>
        <v>4.0889299999999995</v>
      </c>
      <c r="G8" s="3">
        <v>4.28</v>
      </c>
      <c r="H8" s="3">
        <v>1.0780000000000001</v>
      </c>
      <c r="I8" s="3">
        <f t="shared" si="0"/>
        <v>4.6138400000000006</v>
      </c>
      <c r="J8" s="3">
        <f t="shared" si="3"/>
        <v>10.40306</v>
      </c>
      <c r="K8" s="3">
        <f t="shared" si="4"/>
        <v>8.702770000000001</v>
      </c>
      <c r="L8" s="4">
        <f t="shared" si="5"/>
        <v>0.83655866639238852</v>
      </c>
      <c r="M8" s="3" t="s">
        <v>10</v>
      </c>
    </row>
    <row r="9" spans="1:13" x14ac:dyDescent="0.25">
      <c r="A9" s="3">
        <v>13.99</v>
      </c>
      <c r="B9" s="3">
        <v>0.2394</v>
      </c>
      <c r="C9" s="3">
        <f t="shared" si="1"/>
        <v>3.3492060000000001</v>
      </c>
      <c r="D9" s="3">
        <v>4.0199999999999996</v>
      </c>
      <c r="E9" s="3">
        <v>0.33900000000000002</v>
      </c>
      <c r="F9" s="3">
        <f t="shared" si="2"/>
        <v>1.3627799999999999</v>
      </c>
      <c r="G9" s="3">
        <v>4.22</v>
      </c>
      <c r="H9" s="3">
        <v>0.35160000000000002</v>
      </c>
      <c r="I9" s="3">
        <f t="shared" si="0"/>
        <v>1.483752</v>
      </c>
      <c r="J9" s="3">
        <f t="shared" si="3"/>
        <v>3.3492060000000001</v>
      </c>
      <c r="K9" s="3">
        <f t="shared" si="4"/>
        <v>2.8465319999999998</v>
      </c>
      <c r="L9" s="4">
        <f t="shared" si="5"/>
        <v>0.84991248672073316</v>
      </c>
      <c r="M9" s="3" t="s">
        <v>22</v>
      </c>
    </row>
    <row r="10" spans="1:13" x14ac:dyDescent="0.25">
      <c r="A10" s="3">
        <v>13.97</v>
      </c>
      <c r="B10" s="3">
        <v>0.46300000000000002</v>
      </c>
      <c r="C10" s="3">
        <f t="shared" si="1"/>
        <v>6.4681100000000002</v>
      </c>
      <c r="D10" s="3">
        <v>4</v>
      </c>
      <c r="E10" s="3">
        <v>0.65900000000000003</v>
      </c>
      <c r="F10" s="3">
        <f t="shared" si="2"/>
        <v>2.6360000000000001</v>
      </c>
      <c r="G10" s="3">
        <v>4.1500000000000004</v>
      </c>
      <c r="H10" s="3">
        <v>0.67</v>
      </c>
      <c r="I10" s="3">
        <f t="shared" si="0"/>
        <v>2.7805000000000004</v>
      </c>
      <c r="J10" s="3">
        <f t="shared" si="3"/>
        <v>6.4681100000000002</v>
      </c>
      <c r="K10" s="3">
        <f t="shared" si="4"/>
        <v>5.416500000000001</v>
      </c>
      <c r="L10" s="4">
        <f t="shared" si="5"/>
        <v>0.83741618494428838</v>
      </c>
      <c r="M10" s="3" t="s">
        <v>21</v>
      </c>
    </row>
    <row r="11" spans="1:13" x14ac:dyDescent="0.25">
      <c r="L11" s="1"/>
    </row>
    <row r="12" spans="1:13" x14ac:dyDescent="0.25">
      <c r="L12" s="1"/>
    </row>
    <row r="13" spans="1:13" x14ac:dyDescent="0.25">
      <c r="L13" s="1"/>
    </row>
    <row r="14" spans="1:13" x14ac:dyDescent="0.25">
      <c r="L14" s="1"/>
    </row>
    <row r="15" spans="1:13" x14ac:dyDescent="0.25">
      <c r="L15" s="1"/>
    </row>
    <row r="16" spans="1:13" x14ac:dyDescent="0.25">
      <c r="L16" s="1"/>
    </row>
    <row r="17" spans="1:13" x14ac:dyDescent="0.25">
      <c r="L17" s="1"/>
    </row>
    <row r="18" spans="1:13" x14ac:dyDescent="0.25">
      <c r="A18" s="5" t="s">
        <v>0</v>
      </c>
      <c r="B18" s="5"/>
      <c r="C18" s="5"/>
      <c r="D18" s="5" t="s">
        <v>15</v>
      </c>
      <c r="E18" s="5"/>
      <c r="F18" s="5"/>
      <c r="G18" s="5" t="s">
        <v>16</v>
      </c>
      <c r="H18" s="5"/>
      <c r="I18" s="5"/>
      <c r="J18" t="s">
        <v>1</v>
      </c>
      <c r="K18" t="s">
        <v>2</v>
      </c>
      <c r="L18" t="s">
        <v>3</v>
      </c>
      <c r="M18" t="s">
        <v>17</v>
      </c>
    </row>
    <row r="19" spans="1:13" x14ac:dyDescent="0.25">
      <c r="A19" t="s">
        <v>14</v>
      </c>
      <c r="B19" t="s">
        <v>12</v>
      </c>
      <c r="C19" t="s">
        <v>13</v>
      </c>
      <c r="D19" t="s">
        <v>14</v>
      </c>
      <c r="E19" t="s">
        <v>12</v>
      </c>
      <c r="F19" t="s">
        <v>13</v>
      </c>
      <c r="G19" t="s">
        <v>14</v>
      </c>
      <c r="H19" t="s">
        <v>12</v>
      </c>
      <c r="I19" t="s">
        <v>13</v>
      </c>
      <c r="J19" t="s">
        <v>13</v>
      </c>
      <c r="K19" t="s">
        <v>18</v>
      </c>
      <c r="L19" t="s">
        <v>19</v>
      </c>
    </row>
    <row r="20" spans="1:13" x14ac:dyDescent="0.25">
      <c r="A20" s="3">
        <v>9.86</v>
      </c>
      <c r="B20" s="3">
        <v>2.7867999999999999</v>
      </c>
      <c r="C20" s="3">
        <f t="shared" ref="C20" si="6">A20*B20</f>
        <v>27.477847999999998</v>
      </c>
      <c r="D20" s="3">
        <v>3.65</v>
      </c>
      <c r="E20" s="3">
        <v>3.4373</v>
      </c>
      <c r="F20" s="3">
        <f t="shared" ref="F20" si="7">D20*E20</f>
        <v>12.546144999999999</v>
      </c>
      <c r="G20" s="3">
        <v>3.75</v>
      </c>
      <c r="H20" s="3">
        <v>3.4337</v>
      </c>
      <c r="I20" s="3">
        <f t="shared" ref="I20" si="8">G20*H20</f>
        <v>12.876374999999999</v>
      </c>
      <c r="J20" s="3">
        <f t="shared" ref="J20" si="9">C20</f>
        <v>27.477847999999998</v>
      </c>
      <c r="K20" s="3">
        <f t="shared" ref="K20" si="10">F20+I20</f>
        <v>25.422519999999999</v>
      </c>
      <c r="L20" s="4">
        <f t="shared" ref="L20" si="11">K20/J20</f>
        <v>0.92520054700062393</v>
      </c>
      <c r="M20" s="3" t="s">
        <v>11</v>
      </c>
    </row>
    <row r="21" spans="1:13" x14ac:dyDescent="0.25">
      <c r="A21" s="3">
        <v>9.86</v>
      </c>
      <c r="B21" s="3">
        <v>5.7504</v>
      </c>
      <c r="C21" s="3">
        <f t="shared" ref="C21" si="12">A21*B21</f>
        <v>56.698943999999997</v>
      </c>
      <c r="D21" s="3">
        <v>3.65</v>
      </c>
      <c r="E21" s="3">
        <v>7.2845000000000004</v>
      </c>
      <c r="F21" s="3">
        <f t="shared" ref="F21" si="13">D21*E21</f>
        <v>26.588425000000001</v>
      </c>
      <c r="G21" s="3">
        <v>3.75</v>
      </c>
      <c r="H21" s="3">
        <v>7.2839999999999998</v>
      </c>
      <c r="I21" s="3">
        <f t="shared" ref="I21" si="14">G21*H21</f>
        <v>27.314999999999998</v>
      </c>
      <c r="J21" s="3">
        <f t="shared" ref="J21" si="15">C21</f>
        <v>56.698943999999997</v>
      </c>
      <c r="K21" s="3">
        <f t="shared" ref="K21" si="16">F21+I21</f>
        <v>53.903424999999999</v>
      </c>
      <c r="L21" s="4">
        <f t="shared" ref="L21" si="17">K21/J21</f>
        <v>0.95069539566733374</v>
      </c>
      <c r="M21" s="3" t="s">
        <v>20</v>
      </c>
    </row>
    <row r="22" spans="1:13" x14ac:dyDescent="0.25">
      <c r="L22" s="1"/>
    </row>
  </sheetData>
  <mergeCells count="6">
    <mergeCell ref="A1:C1"/>
    <mergeCell ref="D1:F1"/>
    <mergeCell ref="G1:I1"/>
    <mergeCell ref="A18:C18"/>
    <mergeCell ref="D18:F18"/>
    <mergeCell ref="G18:I18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 10 Input</vt:lpstr>
      <vt:lpstr>About 13.5V 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jb</dc:creator>
  <cp:lastModifiedBy>jb</cp:lastModifiedBy>
  <dcterms:created xsi:type="dcterms:W3CDTF">2022-02-04T17:58:43Z</dcterms:created>
  <dcterms:modified xsi:type="dcterms:W3CDTF">2022-02-16T19:52:56Z</dcterms:modified>
</cp:coreProperties>
</file>